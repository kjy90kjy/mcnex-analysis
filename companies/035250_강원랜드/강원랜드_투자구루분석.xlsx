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r Filters" sheetId="1" state="visible" r:id="rId1"/>
    <sheet xmlns:r="http://schemas.openxmlformats.org/officeDocument/2006/relationships" name="경제적_해자" sheetId="2" state="visible" r:id="rId2"/>
    <sheet xmlns:r="http://schemas.openxmlformats.org/officeDocument/2006/relationships" name="경영진_평가" sheetId="3" state="visible" r:id="rId3"/>
    <sheet xmlns:r="http://schemas.openxmlformats.org/officeDocument/2006/relationships" name="자본배분" sheetId="4" state="visible" r:id="rId4"/>
    <sheet xmlns:r="http://schemas.openxmlformats.org/officeDocument/2006/relationships" name="수익성_품질" sheetId="5" state="visible" r:id="rId5"/>
    <sheet xmlns:r="http://schemas.openxmlformats.org/officeDocument/2006/relationships" name="내재가치_안전마진" sheetId="6" state="visible" r:id="rId6"/>
    <sheet xmlns:r="http://schemas.openxmlformats.org/officeDocument/2006/relationships" name="투자판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맑은 고딕"/>
      <b val="1"/>
      <color rgb="00FFFFFF"/>
      <sz val="24"/>
    </font>
    <font>
      <name val="맑은 고딕"/>
      <color rgb="00B0C4DE"/>
      <sz val="11"/>
    </font>
    <font>
      <name val="맑은 고딕"/>
      <b val="1"/>
      <color rgb="001B2A4A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color rgb="0027AE60"/>
      <sz val="11"/>
    </font>
    <font>
      <name val="맑은 고딕"/>
      <b val="1"/>
      <color rgb="001B2A4A"/>
      <sz val="11"/>
    </font>
    <font>
      <name val="맑은 고딕"/>
      <b val="1"/>
      <color rgb="001B2A4A"/>
      <sz val="12"/>
    </font>
    <font>
      <name val="맑은 고딕"/>
      <b val="1"/>
      <color rgb="0027AE60"/>
      <sz val="14"/>
    </font>
    <font>
      <name val="맑은 고딕"/>
      <b val="1"/>
      <color rgb="001B2A4A"/>
      <sz val="10"/>
    </font>
    <font>
      <name val="맑은 고딕"/>
      <b val="1"/>
      <color rgb="00FFFFFF"/>
      <sz val="11"/>
    </font>
    <font>
      <name val="맑은 고딕"/>
      <b val="1"/>
      <color rgb="003A5BA0"/>
      <sz val="11"/>
    </font>
    <font>
      <name val="맑은 고딕"/>
      <b val="1"/>
      <color rgb="0027AE60"/>
      <sz val="10"/>
    </font>
    <font>
      <name val="맑은 고딕"/>
      <b val="1"/>
      <color rgb="00C0392B"/>
      <sz val="10"/>
    </font>
    <font>
      <name val="맑은 고딕"/>
      <color rgb="00666666"/>
      <sz val="9"/>
    </font>
    <font>
      <name val="맑은 고딕"/>
      <b val="1"/>
      <color rgb="000000FF"/>
      <sz val="10"/>
    </font>
    <font>
      <name val="맑은 고딕"/>
      <b val="1"/>
      <color rgb="00FFFFFF"/>
      <sz val="22"/>
    </font>
    <font>
      <name val="맑은 고딕"/>
      <b val="1"/>
      <color rgb="0027AE60"/>
      <sz val="20"/>
    </font>
    <font>
      <name val="맑은 고딕"/>
      <color rgb="00C0392B"/>
      <sz val="10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FFFFFF"/>
      </patternFill>
    </fill>
    <fill>
      <patternFill patternType="solid">
        <fgColor rgb="00EBF1F8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27AE60"/>
      </patternFill>
    </fill>
    <fill>
      <patternFill patternType="solid">
        <fgColor rgb="00C0392B"/>
      </patternFill>
    </fill>
    <fill>
      <patternFill patternType="solid">
        <fgColor rgb="00F8D7DA"/>
      </patternFill>
    </fill>
    <fill>
      <patternFill patternType="solid">
        <fgColor rgb="00D6E4F0"/>
      </patternFill>
    </fill>
    <fill>
      <patternFill patternType="solid">
        <fgColor rgb="00D6EAF8"/>
      </patternFill>
    </fill>
    <fill>
      <patternFill patternType="solid">
        <fgColor rgb="002980B9"/>
      </patternFill>
    </fill>
    <fill>
      <patternFill patternType="solid">
        <fgColor rgb="007F8C8D"/>
      </patternFill>
    </fill>
    <fill>
      <patternFill patternType="solid">
        <fgColor rgb="00E5E7E9"/>
      </patternFill>
    </fill>
    <fill>
      <patternFill patternType="solid">
        <fgColor rgb="00FDE8E8"/>
      </patternFill>
    </fill>
  </fills>
  <borders count="3">
    <border>
      <left/>
      <right/>
      <top/>
      <bottom/>
      <diagonal/>
    </border>
    <border>
      <bottom style="medium">
        <color rgb="001B2A4A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top" wrapText="1"/>
    </xf>
    <xf numFmtId="0" fontId="12" fillId="8" borderId="0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left" vertical="center" wrapText="1"/>
    </xf>
    <xf numFmtId="0" fontId="13" fillId="5" borderId="2" pivotButton="0" quotePrefix="0" xfId="0"/>
    <xf numFmtId="0" fontId="5" fillId="4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3" fontId="5" fillId="4" borderId="2" applyAlignment="1" pivotButton="0" quotePrefix="0" xfId="0">
      <alignment horizontal="right" vertical="center"/>
    </xf>
    <xf numFmtId="0" fontId="14" fillId="4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left" vertical="center" wrapText="1"/>
    </xf>
    <xf numFmtId="0" fontId="15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5" fillId="12" borderId="2" applyAlignment="1" pivotButton="0" quotePrefix="0" xfId="0">
      <alignment horizontal="left" vertical="center" wrapText="1"/>
    </xf>
    <xf numFmtId="0" fontId="17" fillId="12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right" vertical="center"/>
    </xf>
    <xf numFmtId="0" fontId="15" fillId="4" borderId="2" applyAlignment="1" pivotButton="0" quotePrefix="0" xfId="0">
      <alignment horizontal="right" vertical="center"/>
    </xf>
    <xf numFmtId="0" fontId="6" fillId="6" borderId="2" applyAlignment="1" pivotButton="0" quotePrefix="0" xfId="0">
      <alignment horizontal="center" vertical="center" wrapText="1"/>
    </xf>
    <xf numFmtId="0" fontId="14" fillId="6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 wrapText="1"/>
    </xf>
    <xf numFmtId="0" fontId="16" fillId="6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right" vertical="center"/>
    </xf>
    <xf numFmtId="0" fontId="6" fillId="5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14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3" fontId="17" fillId="7" borderId="2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  <xf numFmtId="3" fontId="14" fillId="4" borderId="2" applyAlignment="1" pivotButton="0" quotePrefix="0" xfId="0">
      <alignment horizontal="right" vertical="center"/>
    </xf>
    <xf numFmtId="3" fontId="15" fillId="4" borderId="2" applyAlignment="1" pivotButton="0" quotePrefix="0" xfId="0">
      <alignment horizontal="right" vertical="center"/>
    </xf>
    <xf numFmtId="0" fontId="17" fillId="7" borderId="2" applyAlignment="1" pivotButton="0" quotePrefix="0" xfId="0">
      <alignment horizontal="right" vertical="center"/>
    </xf>
    <xf numFmtId="0" fontId="16" fillId="7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12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right" vertical="center"/>
    </xf>
    <xf numFmtId="0" fontId="6" fillId="10" borderId="2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0" fontId="19" fillId="6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2" fillId="13" borderId="0" applyAlignment="1" pivotButton="0" quotePrefix="0" xfId="0">
      <alignment horizontal="center" vertical="center" wrapText="1"/>
    </xf>
    <xf numFmtId="0" fontId="12" fillId="14" borderId="0" applyAlignment="1" pivotButton="0" quotePrefix="0" xfId="0">
      <alignment horizontal="center" vertical="center" wrapText="1"/>
    </xf>
    <xf numFmtId="0" fontId="5" fillId="15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20" fillId="16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I5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2" t="inlineStr">
        <is>
          <t>강원랜드(KANGWON LAND) 투자 구루 분석</t>
        </is>
      </c>
      <c r="I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3" t="inlineStr">
        <is>
          <t>Four Filters 종합 대시보드  |  현재가 17,690원  |  2026.02.06 기준</t>
        </is>
      </c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7">
      <c r="A7" s="4" t="inlineStr">
        <is>
          <t>A. Four Filters 스코어카드 (100점 만점)</t>
        </is>
      </c>
    </row>
    <row r="8">
      <c r="A8" s="5" t="inlineStr"/>
      <c r="B8" s="5" t="inlineStr">
        <is>
          <t>필터</t>
        </is>
      </c>
      <c r="C8" s="5" t="inlineStr">
        <is>
          <t>소항목1</t>
        </is>
      </c>
      <c r="D8" s="5" t="inlineStr">
        <is>
          <t>소항목2</t>
        </is>
      </c>
      <c r="E8" s="5" t="inlineStr">
        <is>
          <t>소항목3</t>
        </is>
      </c>
      <c r="F8" s="5" t="inlineStr">
        <is>
          <t>소항목4</t>
        </is>
      </c>
      <c r="G8" s="5" t="inlineStr">
        <is>
          <t>소항목5</t>
        </is>
      </c>
      <c r="H8" s="5" t="inlineStr">
        <is>
          <t>소계</t>
        </is>
      </c>
    </row>
    <row r="9">
      <c r="A9" s="6" t="inlineStr"/>
      <c r="B9" s="7" t="inlineStr">
        <is>
          <t>F1: 사업 이해도</t>
        </is>
      </c>
      <c r="C9" s="6" t="n">
        <v>5</v>
      </c>
      <c r="D9" s="6" t="n">
        <v>5</v>
      </c>
      <c r="E9" s="6" t="n">
        <v>5</v>
      </c>
      <c r="F9" s="6" t="n">
        <v>4</v>
      </c>
      <c r="G9" s="6" t="n">
        <v>3</v>
      </c>
      <c r="H9" s="8" t="inlineStr">
        <is>
          <t>22/25</t>
        </is>
      </c>
    </row>
    <row r="10">
      <c r="A10" s="6" t="inlineStr"/>
      <c r="B10" s="7" t="inlineStr">
        <is>
          <t>F2: 경제적 해자</t>
        </is>
      </c>
      <c r="C10" s="6" t="n">
        <v>5</v>
      </c>
      <c r="D10" s="6" t="n">
        <v>4</v>
      </c>
      <c r="E10" s="6" t="n">
        <v>4</v>
      </c>
      <c r="F10" s="6" t="n">
        <v>5</v>
      </c>
      <c r="G10" s="6" t="n">
        <v>3</v>
      </c>
      <c r="H10" s="8" t="inlineStr">
        <is>
          <t>21/25</t>
        </is>
      </c>
    </row>
    <row r="11">
      <c r="A11" s="6" t="inlineStr"/>
      <c r="B11" s="7" t="inlineStr">
        <is>
          <t>F3: 경영진 품질</t>
        </is>
      </c>
      <c r="C11" s="6" t="n">
        <v>3</v>
      </c>
      <c r="D11" s="6" t="n">
        <v>3</v>
      </c>
      <c r="E11" s="6" t="n">
        <v>4</v>
      </c>
      <c r="F11" s="6" t="n">
        <v>4</v>
      </c>
      <c r="G11" s="6" t="n">
        <v>4</v>
      </c>
      <c r="H11" s="9" t="inlineStr">
        <is>
          <t>18/25</t>
        </is>
      </c>
    </row>
    <row r="12">
      <c r="A12" s="6" t="inlineStr"/>
      <c r="B12" s="7" t="inlineStr">
        <is>
          <t>F4: 안전마진</t>
        </is>
      </c>
      <c r="C12" s="6" t="n">
        <v>3</v>
      </c>
      <c r="D12" s="6" t="n">
        <v>3</v>
      </c>
      <c r="E12" s="6" t="n">
        <v>4</v>
      </c>
      <c r="F12" s="6" t="n">
        <v>3</v>
      </c>
      <c r="G12" s="6" t="n">
        <v>4</v>
      </c>
      <c r="H12" s="9" t="inlineStr">
        <is>
          <t>17/25</t>
        </is>
      </c>
    </row>
    <row r="14">
      <c r="B14" s="10" t="inlineStr">
        <is>
          <t>종합점수</t>
        </is>
      </c>
      <c r="F14" s="11" t="inlineStr">
        <is>
          <t>78/100 (등급: B)</t>
        </is>
      </c>
    </row>
    <row r="16">
      <c r="A16" s="4" t="inlineStr">
        <is>
          <t>B. 투자 테제</t>
        </is>
      </c>
    </row>
    <row r="17">
      <c r="B17" s="12" t="inlineStr">
        <is>
          <t>강원랜드는 한국 유일의 내국인 카지노 면허를 보유한 규제 독점 기업으로, GPM 50%+, OPM 20~35%의 구조적 고마진 사업을 영위. 무차입 순현금 경영 + 고배당 전통(배당성향 45~60%) + 자사주 매입까지 병행하는 주주환원 기업. 현재 PER 10.4배(T4Q)는 카지노업 기준 저평가 영역이며, 배당수익률 6.6%로 가치주 매력 충분.</t>
        </is>
      </c>
    </row>
    <row r="18"/>
    <row r="20">
      <c r="A20" s="4" t="inlineStr">
        <is>
          <t>C. 핵심 강점 vs 리스크</t>
        </is>
      </c>
    </row>
    <row r="21">
      <c r="B21" s="13" t="inlineStr">
        <is>
          <t>핵심 강점 (3)</t>
        </is>
      </c>
      <c r="E21" s="14" t="inlineStr">
        <is>
          <t>핵심 리스크 (3)</t>
        </is>
      </c>
    </row>
    <row r="22">
      <c r="B22" s="15" t="inlineStr">
        <is>
          <t xml:space="preserve">  1. 한국 유일 내국인 카지노 면허 (규제 독점 해자)</t>
        </is>
      </c>
      <c r="E22" s="16" t="inlineStr">
        <is>
          <t xml:space="preserve">  1. 정부 규제 리스크 (영업시간/입장료/횟수 제한 변경)</t>
        </is>
      </c>
    </row>
    <row r="23">
      <c r="B23" s="15" t="inlineStr">
        <is>
          <t xml:space="preserve">  2. 무차입경영 + 순현금 2,445억 + 배당수익률 6.6%</t>
        </is>
      </c>
      <c r="E23" s="16" t="inlineStr">
        <is>
          <t xml:space="preserve">  2. 전문경영인 체제 → 정부 정책 변화에 취약</t>
        </is>
      </c>
    </row>
    <row r="24">
      <c r="B24" s="15" t="inlineStr">
        <is>
          <t xml:space="preserve">  3. COVID 정상화 완료 → 매출/이익 회복 + 신규 투자(제2카지노)</t>
        </is>
      </c>
      <c r="E24" s="16" t="inlineStr">
        <is>
          <t xml:space="preserve">  3. 온라인 도박 합법화 또는 내국인 카지노 추가 면허 가능성</t>
        </is>
      </c>
    </row>
    <row r="26">
      <c r="A26" s="4" t="inlineStr">
        <is>
          <t>D. 필터별 소항목 상세</t>
        </is>
      </c>
    </row>
    <row r="27">
      <c r="A27" s="5" t="inlineStr"/>
      <c r="B27" s="5" t="inlineStr">
        <is>
          <t>항목</t>
        </is>
      </c>
      <c r="C27" s="5" t="inlineStr">
        <is>
          <t>평가 근거</t>
        </is>
      </c>
      <c r="D27" s="5" t="inlineStr">
        <is>
          <t>판정</t>
        </is>
      </c>
      <c r="E27" s="5" t="inlineStr">
        <is>
          <t>점수</t>
        </is>
      </c>
      <c r="F27" s="5" t="inlineStr"/>
      <c r="G27" s="5" t="inlineStr"/>
      <c r="H27" s="5" t="inlineStr"/>
    </row>
    <row r="28">
      <c r="A28" s="17" t="inlineStr">
        <is>
          <t>Filter 1: 사업 이해도</t>
        </is>
      </c>
    </row>
    <row r="29">
      <c r="A29" s="6" t="inlineStr"/>
      <c r="B29" s="7" t="inlineStr">
        <is>
          <t>사업모델 단순성</t>
        </is>
      </c>
      <c r="C29" s="18" t="inlineStr">
        <is>
          <t>내국인 독점 카지노 + 리조트(호텔/스키/골프)</t>
        </is>
      </c>
      <c r="D29" s="19" t="inlineStr">
        <is>
          <t>높음</t>
        </is>
      </c>
      <c r="E29" s="19" t="inlineStr">
        <is>
          <t>5/5</t>
        </is>
      </c>
      <c r="F29" s="6" t="inlineStr"/>
      <c r="G29" s="6" t="inlineStr"/>
      <c r="H29" s="6" t="inlineStr"/>
    </row>
    <row r="30">
      <c r="A30" s="6" t="inlineStr"/>
      <c r="B30" s="7" t="inlineStr">
        <is>
          <t>매출구조 명확성</t>
        </is>
      </c>
      <c r="C30" s="18" t="inlineStr">
        <is>
          <t>카지노 80%+ / 호텔·콘도·스키·골프 20%</t>
        </is>
      </c>
      <c r="D30" s="19" t="inlineStr">
        <is>
          <t>높음</t>
        </is>
      </c>
      <c r="E30" s="19" t="inlineStr">
        <is>
          <t>5/5</t>
        </is>
      </c>
      <c r="F30" s="6" t="inlineStr"/>
      <c r="G30" s="6" t="inlineStr"/>
      <c r="H30" s="6" t="inlineStr"/>
    </row>
    <row r="31">
      <c r="A31" s="6" t="inlineStr"/>
      <c r="B31" s="7" t="inlineStr">
        <is>
          <t>10년 일관성</t>
        </is>
      </c>
      <c r="C31" s="18" t="inlineStr">
        <is>
          <t>2000년 개장 이래 카지노+리조트 사업 일관</t>
        </is>
      </c>
      <c r="D31" s="19" t="inlineStr">
        <is>
          <t>높음</t>
        </is>
      </c>
      <c r="E31" s="19" t="inlineStr">
        <is>
          <t>5/5</t>
        </is>
      </c>
      <c r="F31" s="6" t="inlineStr"/>
      <c r="G31" s="6" t="inlineStr"/>
      <c r="H31" s="6" t="inlineStr"/>
    </row>
    <row r="32">
      <c r="A32" s="6" t="inlineStr"/>
      <c r="B32" s="7" t="inlineStr">
        <is>
          <t>수요 예측성</t>
        </is>
      </c>
      <c r="C32" s="18" t="inlineStr">
        <is>
          <t>입장객 수 × 1인당 GGR, 계절성 있으나 안정</t>
        </is>
      </c>
      <c r="D32" s="19" t="inlineStr">
        <is>
          <t>보통</t>
        </is>
      </c>
      <c r="E32" s="19" t="inlineStr">
        <is>
          <t>4/5</t>
        </is>
      </c>
      <c r="F32" s="6" t="inlineStr"/>
      <c r="G32" s="6" t="inlineStr"/>
      <c r="H32" s="6" t="inlineStr"/>
    </row>
    <row r="33">
      <c r="A33" s="6" t="inlineStr"/>
      <c r="B33" s="7" t="inlineStr">
        <is>
          <t>규제 환경 이해</t>
        </is>
      </c>
      <c r="C33" s="18" t="inlineStr">
        <is>
          <t>정부 규제(입장료·시간·횟수) 직접 영향</t>
        </is>
      </c>
      <c r="D33" s="6" t="inlineStr">
        <is>
          <t>보통</t>
        </is>
      </c>
      <c r="E33" s="6" t="inlineStr">
        <is>
          <t>3/5</t>
        </is>
      </c>
      <c r="F33" s="6" t="inlineStr"/>
      <c r="G33" s="6" t="inlineStr"/>
      <c r="H33" s="6" t="inlineStr"/>
    </row>
    <row r="34">
      <c r="A34" s="17" t="inlineStr">
        <is>
          <t>Filter 2: 경제적 해자</t>
        </is>
      </c>
    </row>
    <row r="35">
      <c r="A35" s="6" t="inlineStr"/>
      <c r="B35" s="7" t="inlineStr">
        <is>
          <t>규제 독점</t>
        </is>
      </c>
      <c r="C35" s="18" t="inlineStr">
        <is>
          <t>한국 유일 내국인 카지노 면허 (법적 진입장벽)</t>
        </is>
      </c>
      <c r="D35" s="19" t="inlineStr">
        <is>
          <t>매우 강함</t>
        </is>
      </c>
      <c r="E35" s="19" t="inlineStr">
        <is>
          <t>5/5</t>
        </is>
      </c>
      <c r="F35" s="6" t="inlineStr"/>
      <c r="G35" s="6" t="inlineStr"/>
      <c r="H35" s="6" t="inlineStr"/>
    </row>
    <row r="36">
      <c r="A36" s="6" t="inlineStr"/>
      <c r="B36" s="7" t="inlineStr">
        <is>
          <t>브랜드/입지</t>
        </is>
      </c>
      <c r="C36" s="18" t="inlineStr">
        <is>
          <t>강원도 정선 독점 입지, 관광 인프라 독점</t>
        </is>
      </c>
      <c r="D36" s="19" t="inlineStr">
        <is>
          <t>강함</t>
        </is>
      </c>
      <c r="E36" s="19" t="inlineStr">
        <is>
          <t>4/5</t>
        </is>
      </c>
      <c r="F36" s="6" t="inlineStr"/>
      <c r="G36" s="6" t="inlineStr"/>
      <c r="H36" s="6" t="inlineStr"/>
    </row>
    <row r="37">
      <c r="A37" s="6" t="inlineStr"/>
      <c r="B37" s="7" t="inlineStr">
        <is>
          <t>전환비용</t>
        </is>
      </c>
      <c r="C37" s="18" t="inlineStr">
        <is>
          <t>도박 중독성으로 재방문율 높음, 대체재 부재</t>
        </is>
      </c>
      <c r="D37" s="19" t="inlineStr">
        <is>
          <t>강함</t>
        </is>
      </c>
      <c r="E37" s="19" t="inlineStr">
        <is>
          <t>4/5</t>
        </is>
      </c>
      <c r="F37" s="6" t="inlineStr"/>
      <c r="G37" s="6" t="inlineStr"/>
      <c r="H37" s="6" t="inlineStr"/>
    </row>
    <row r="38">
      <c r="A38" s="6" t="inlineStr"/>
      <c r="B38" s="7" t="inlineStr">
        <is>
          <t>수익성 지속</t>
        </is>
      </c>
      <c r="C38" s="18" t="inlineStr">
        <is>
          <t>GPM 50%+, OPM 25~35% 구조적 고마진</t>
        </is>
      </c>
      <c r="D38" s="19" t="inlineStr">
        <is>
          <t>매우 강함</t>
        </is>
      </c>
      <c r="E38" s="19" t="inlineStr">
        <is>
          <t>5/5</t>
        </is>
      </c>
      <c r="F38" s="6" t="inlineStr"/>
      <c r="G38" s="6" t="inlineStr"/>
      <c r="H38" s="6" t="inlineStr"/>
    </row>
    <row r="39">
      <c r="A39" s="6" t="inlineStr"/>
      <c r="B39" s="7" t="inlineStr">
        <is>
          <t>해자 위협</t>
        </is>
      </c>
      <c r="C39" s="18" t="inlineStr">
        <is>
          <t>온라인 도박 합법화, 복합리조트 확대 가능성</t>
        </is>
      </c>
      <c r="D39" s="6" t="inlineStr">
        <is>
          <t>보통</t>
        </is>
      </c>
      <c r="E39" s="6" t="inlineStr">
        <is>
          <t>3/5</t>
        </is>
      </c>
      <c r="F39" s="6" t="inlineStr"/>
      <c r="G39" s="6" t="inlineStr"/>
      <c r="H39" s="6" t="inlineStr"/>
    </row>
    <row r="40">
      <c r="A40" s="17" t="inlineStr">
        <is>
          <t>Filter 3: 경영진 품질</t>
        </is>
      </c>
    </row>
    <row r="41">
      <c r="A41" s="6" t="inlineStr"/>
      <c r="B41" s="7" t="inlineStr">
        <is>
          <t>경영진 구조</t>
        </is>
      </c>
      <c r="C41" s="18" t="inlineStr">
        <is>
          <t>전문경영인 체제 (정부 영향력 하 공기업형)</t>
        </is>
      </c>
      <c r="D41" s="6" t="inlineStr">
        <is>
          <t>보통</t>
        </is>
      </c>
      <c r="E41" s="6" t="inlineStr">
        <is>
          <t>3/5</t>
        </is>
      </c>
      <c r="F41" s="6" t="inlineStr"/>
      <c r="G41" s="6" t="inlineStr"/>
      <c r="H41" s="6" t="inlineStr"/>
    </row>
    <row r="42">
      <c r="A42" s="6" t="inlineStr"/>
      <c r="B42" s="7" t="inlineStr">
        <is>
          <t>보수 합리성</t>
        </is>
      </c>
      <c r="C42" s="18" t="inlineStr">
        <is>
          <t>개별 CEO 보수 미공개 (5억 미만 추정)</t>
        </is>
      </c>
      <c r="D42" s="6" t="inlineStr">
        <is>
          <t>보통</t>
        </is>
      </c>
      <c r="E42" s="6" t="inlineStr">
        <is>
          <t>3/5</t>
        </is>
      </c>
      <c r="F42" s="6" t="inlineStr"/>
      <c r="G42" s="6" t="inlineStr"/>
      <c r="H42" s="6" t="inlineStr"/>
    </row>
    <row r="43">
      <c r="A43" s="6" t="inlineStr"/>
      <c r="B43" s="7" t="inlineStr">
        <is>
          <t>배당 정책</t>
        </is>
      </c>
      <c r="C43" s="18" t="inlineStr">
        <is>
          <t>고배당 전통 유지, DPS 930→1,170원 인상</t>
        </is>
      </c>
      <c r="D43" s="19" t="inlineStr">
        <is>
          <t>양호</t>
        </is>
      </c>
      <c r="E43" s="19" t="inlineStr">
        <is>
          <t>4/5</t>
        </is>
      </c>
      <c r="F43" s="6" t="inlineStr"/>
      <c r="G43" s="6" t="inlineStr"/>
      <c r="H43" s="6" t="inlineStr"/>
    </row>
    <row r="44">
      <c r="A44" s="6" t="inlineStr"/>
      <c r="B44" s="7" t="inlineStr">
        <is>
          <t>지역공헌/사회적 의무</t>
        </is>
      </c>
      <c r="C44" s="18" t="inlineStr">
        <is>
          <t>폐광지역 지원, 강원도 지역경제 기여</t>
        </is>
      </c>
      <c r="D44" s="19" t="inlineStr">
        <is>
          <t>양호</t>
        </is>
      </c>
      <c r="E44" s="19" t="inlineStr">
        <is>
          <t>4/5</t>
        </is>
      </c>
      <c r="F44" s="6" t="inlineStr"/>
      <c r="G44" s="6" t="inlineStr"/>
      <c r="H44" s="6" t="inlineStr"/>
    </row>
    <row r="45">
      <c r="A45" s="6" t="inlineStr"/>
      <c r="B45" s="7" t="inlineStr">
        <is>
          <t>성장 투자</t>
        </is>
      </c>
      <c r="C45" s="18" t="inlineStr">
        <is>
          <t>제2카지노영업장 1,796억 신규 투자 결정</t>
        </is>
      </c>
      <c r="D45" s="19" t="inlineStr">
        <is>
          <t>양호</t>
        </is>
      </c>
      <c r="E45" s="19" t="inlineStr">
        <is>
          <t>4/5</t>
        </is>
      </c>
      <c r="F45" s="6" t="inlineStr"/>
      <c r="G45" s="6" t="inlineStr"/>
      <c r="H45" s="6" t="inlineStr"/>
    </row>
    <row r="46">
      <c r="A46" s="17" t="inlineStr">
        <is>
          <t>Filter 4: 안전마진</t>
        </is>
      </c>
    </row>
    <row r="47">
      <c r="A47" s="6" t="inlineStr"/>
      <c r="B47" s="7" t="inlineStr">
        <is>
          <t>PER 수준</t>
        </is>
      </c>
      <c r="C47" s="18" t="inlineStr">
        <is>
          <t>확정 7.8배 / T4Q 10.4배 (카지노 기준 10~15배)</t>
        </is>
      </c>
      <c r="D47" s="6" t="inlineStr">
        <is>
          <t>적정</t>
        </is>
      </c>
      <c r="E47" s="6" t="inlineStr">
        <is>
          <t>3/5</t>
        </is>
      </c>
      <c r="F47" s="6" t="inlineStr"/>
      <c r="G47" s="6" t="inlineStr"/>
      <c r="H47" s="6" t="inlineStr"/>
    </row>
    <row r="48">
      <c r="A48" s="6" t="inlineStr"/>
      <c r="B48" s="7" t="inlineStr">
        <is>
          <t>PBR 수준</t>
        </is>
      </c>
      <c r="C48" s="18" t="inlineStr">
        <is>
          <t>0.97배 (기준 0.8~1.5배)</t>
        </is>
      </c>
      <c r="D48" s="6" t="inlineStr">
        <is>
          <t>적정</t>
        </is>
      </c>
      <c r="E48" s="6" t="inlineStr">
        <is>
          <t>3/5</t>
        </is>
      </c>
      <c r="F48" s="6" t="inlineStr"/>
      <c r="G48" s="6" t="inlineStr"/>
      <c r="H48" s="6" t="inlineStr"/>
    </row>
    <row r="49">
      <c r="A49" s="6" t="inlineStr"/>
      <c r="B49" s="7" t="inlineStr">
        <is>
          <t>FCF 수익률</t>
        </is>
      </c>
      <c r="C49" s="18" t="inlineStr">
        <is>
          <t>10.0% (기준 &gt;5%)</t>
        </is>
      </c>
      <c r="D49" s="19" t="inlineStr">
        <is>
          <t>양호</t>
        </is>
      </c>
      <c r="E49" s="19" t="inlineStr">
        <is>
          <t>4/5</t>
        </is>
      </c>
      <c r="F49" s="6" t="inlineStr"/>
      <c r="G49" s="6" t="inlineStr"/>
      <c r="H49" s="6" t="inlineStr"/>
    </row>
    <row r="50">
      <c r="A50" s="6" t="inlineStr"/>
      <c r="B50" s="7" t="inlineStr">
        <is>
          <t>EV/EBITDA</t>
        </is>
      </c>
      <c r="C50" s="18" t="inlineStr">
        <is>
          <t>9.7배 (기준 8~12배)</t>
        </is>
      </c>
      <c r="D50" s="6" t="inlineStr">
        <is>
          <t>적정</t>
        </is>
      </c>
      <c r="E50" s="6" t="inlineStr">
        <is>
          <t>3/5</t>
        </is>
      </c>
      <c r="F50" s="6" t="inlineStr"/>
      <c r="G50" s="6" t="inlineStr"/>
      <c r="H50" s="6" t="inlineStr"/>
    </row>
    <row r="51">
      <c r="A51" s="6" t="inlineStr"/>
      <c r="B51" s="7" t="inlineStr">
        <is>
          <t>배당수익률</t>
        </is>
      </c>
      <c r="C51" s="18" t="inlineStr">
        <is>
          <t>6.6% (기준 &gt;3%)</t>
        </is>
      </c>
      <c r="D51" s="19" t="inlineStr">
        <is>
          <t>양호</t>
        </is>
      </c>
      <c r="E51" s="19" t="inlineStr">
        <is>
          <t>4/5</t>
        </is>
      </c>
      <c r="F51" s="6" t="inlineStr"/>
      <c r="G51" s="6" t="inlineStr"/>
      <c r="H51" s="6" t="inlineStr"/>
    </row>
  </sheetData>
  <mergeCells count="21">
    <mergeCell ref="B23:D23"/>
    <mergeCell ref="B17:H18"/>
    <mergeCell ref="E22:H22"/>
    <mergeCell ref="A7:H7"/>
    <mergeCell ref="B4:H4"/>
    <mergeCell ref="A16:H16"/>
    <mergeCell ref="E21:H21"/>
    <mergeCell ref="A46:H46"/>
    <mergeCell ref="E24:H24"/>
    <mergeCell ref="B24:D24"/>
    <mergeCell ref="A26:H26"/>
    <mergeCell ref="E23:H23"/>
    <mergeCell ref="B2:H2"/>
    <mergeCell ref="B14:E14"/>
    <mergeCell ref="A40:H40"/>
    <mergeCell ref="A20:H20"/>
    <mergeCell ref="B22:D22"/>
    <mergeCell ref="A28:H28"/>
    <mergeCell ref="F14:G14"/>
    <mergeCell ref="B21:D21"/>
    <mergeCell ref="A34:H34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tabColor rgb="002C3E6B"/>
    <outlinePr summaryBelow="1" summaryRight="1"/>
    <pageSetUpPr fitToPage="1"/>
  </sheetPr>
  <dimension ref="A1:H3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경제적 해자(Economic Moat) 분석</t>
        </is>
      </c>
    </row>
    <row r="2">
      <c r="A2" s="4" t="inlineStr">
        <is>
          <t>A. 해자 유형 판정</t>
        </is>
      </c>
    </row>
    <row r="3">
      <c r="A3" s="5" t="inlineStr">
        <is>
          <t>해자 유형</t>
        </is>
      </c>
      <c r="B3" s="5" t="inlineStr">
        <is>
          <t>보유 여부</t>
        </is>
      </c>
      <c r="C3" s="5" t="inlineStr">
        <is>
          <t>강도</t>
        </is>
      </c>
      <c r="D3" s="5" t="inlineStr">
        <is>
          <t>근거</t>
        </is>
      </c>
      <c r="E3" s="5" t="inlineStr">
        <is>
          <t>지속가능성</t>
        </is>
      </c>
      <c r="F3" s="5" t="inlineStr"/>
      <c r="G3" s="5" t="inlineStr"/>
      <c r="H3" s="5" t="inlineStr"/>
    </row>
    <row r="4">
      <c r="A4" s="7" t="inlineStr">
        <is>
          <t>규제 독점</t>
        </is>
      </c>
      <c r="B4" s="19" t="inlineStr">
        <is>
          <t>O</t>
        </is>
      </c>
      <c r="C4" s="19" t="inlineStr">
        <is>
          <t>매우 강함</t>
        </is>
      </c>
      <c r="D4" s="18" t="inlineStr">
        <is>
          <t>한국 유일 내국인 카지노 면허 (폐광지역개발특별법)</t>
        </is>
      </c>
      <c r="E4" s="6" t="inlineStr">
        <is>
          <t>영구적</t>
        </is>
      </c>
      <c r="F4" s="6" t="inlineStr"/>
      <c r="G4" s="6" t="inlineStr"/>
      <c r="H4" s="6" t="inlineStr"/>
    </row>
    <row r="5">
      <c r="A5" s="7" t="inlineStr">
        <is>
          <t>브랜드/입지</t>
        </is>
      </c>
      <c r="B5" s="19" t="inlineStr">
        <is>
          <t>O</t>
        </is>
      </c>
      <c r="C5" s="19" t="inlineStr">
        <is>
          <t>강함</t>
        </is>
      </c>
      <c r="D5" s="18" t="inlineStr">
        <is>
          <t>정선 독점 입지, 서울서 3시간 거리에도 유일한 선택지</t>
        </is>
      </c>
      <c r="E5" s="6" t="inlineStr">
        <is>
          <t>10년+</t>
        </is>
      </c>
      <c r="F5" s="6" t="inlineStr"/>
      <c r="G5" s="6" t="inlineStr"/>
      <c r="H5" s="6" t="inlineStr"/>
    </row>
    <row r="6">
      <c r="A6" s="7" t="inlineStr">
        <is>
          <t>전환비용</t>
        </is>
      </c>
      <c r="B6" s="19" t="inlineStr">
        <is>
          <t>O</t>
        </is>
      </c>
      <c r="C6" s="19" t="inlineStr">
        <is>
          <t>강함</t>
        </is>
      </c>
      <c r="D6" s="18" t="inlineStr">
        <is>
          <t>도박 중독성+대체재 부재로 재방문율 높음</t>
        </is>
      </c>
      <c r="E6" s="6" t="inlineStr">
        <is>
          <t>10년+</t>
        </is>
      </c>
      <c r="F6" s="6" t="inlineStr"/>
      <c r="G6" s="6" t="inlineStr"/>
      <c r="H6" s="6" t="inlineStr"/>
    </row>
    <row r="7">
      <c r="A7" s="7" t="inlineStr">
        <is>
          <t>네트워크 효과</t>
        </is>
      </c>
      <c r="B7" s="20" t="inlineStr">
        <is>
          <t>X</t>
        </is>
      </c>
      <c r="C7" s="20" t="inlineStr">
        <is>
          <t>없음</t>
        </is>
      </c>
      <c r="D7" s="18" t="inlineStr">
        <is>
          <t>카지노/리조트 사업 구조상 해당 없음</t>
        </is>
      </c>
      <c r="E7" s="6" t="inlineStr">
        <is>
          <t>-</t>
        </is>
      </c>
      <c r="F7" s="6" t="inlineStr"/>
      <c r="G7" s="6" t="inlineStr"/>
      <c r="H7" s="6" t="inlineStr"/>
    </row>
    <row r="8">
      <c r="A8" s="7" t="inlineStr">
        <is>
          <t>비용우위</t>
        </is>
      </c>
      <c r="B8" s="21" t="inlineStr">
        <is>
          <t>△</t>
        </is>
      </c>
      <c r="C8" s="21" t="inlineStr">
        <is>
          <t>보통</t>
        </is>
      </c>
      <c r="D8" s="18" t="inlineStr">
        <is>
          <t>독점이므로 비용 경쟁 불필요, 오히려 고비용 구조</t>
        </is>
      </c>
      <c r="E8" s="6" t="inlineStr">
        <is>
          <t>해당없음</t>
        </is>
      </c>
      <c r="F8" s="6" t="inlineStr"/>
      <c r="G8" s="6" t="inlineStr"/>
      <c r="H8" s="6" t="inlineStr"/>
    </row>
    <row r="10">
      <c r="A10" s="4" t="inlineStr">
        <is>
          <t>B. 수익성 추이 (10년)</t>
        </is>
      </c>
    </row>
    <row r="11">
      <c r="A11" s="5" t="inlineStr">
        <is>
          <t>연도</t>
        </is>
      </c>
      <c r="B11" s="5" t="inlineStr">
        <is>
          <t>매출액(억)</t>
        </is>
      </c>
      <c r="C11" s="5" t="inlineStr">
        <is>
          <t>매출총이익(억)</t>
        </is>
      </c>
      <c r="D11" s="5" t="inlineStr">
        <is>
          <t>GPM</t>
        </is>
      </c>
      <c r="E11" s="5" t="inlineStr">
        <is>
          <t>영업이익(억)</t>
        </is>
      </c>
      <c r="F11" s="5" t="inlineStr">
        <is>
          <t>OPM</t>
        </is>
      </c>
      <c r="G11" s="5" t="inlineStr">
        <is>
          <t>ROIC</t>
        </is>
      </c>
      <c r="H11" s="5" t="inlineStr">
        <is>
          <t>비고</t>
        </is>
      </c>
    </row>
    <row r="12">
      <c r="A12" s="22" t="inlineStr">
        <is>
          <t>2015</t>
        </is>
      </c>
      <c r="B12" s="23" t="n">
        <v>16337</v>
      </c>
      <c r="C12" s="23" t="n">
        <v>8740</v>
      </c>
      <c r="D12" s="24" t="inlineStr">
        <is>
          <t>53.5%</t>
        </is>
      </c>
      <c r="E12" s="23" t="n">
        <v>5954</v>
      </c>
      <c r="F12" s="24" t="inlineStr">
        <is>
          <t>36.4%</t>
        </is>
      </c>
      <c r="G12" s="6" t="inlineStr">
        <is>
          <t>15.5%</t>
        </is>
      </c>
      <c r="H12" s="25" t="inlineStr">
        <is>
          <t>최대 실적</t>
        </is>
      </c>
    </row>
    <row r="13">
      <c r="A13" s="22" t="inlineStr">
        <is>
          <t>2016</t>
        </is>
      </c>
      <c r="B13" s="23" t="n">
        <v>16965</v>
      </c>
      <c r="C13" s="23" t="n">
        <v>9113</v>
      </c>
      <c r="D13" s="24" t="inlineStr">
        <is>
          <t>53.7%</t>
        </is>
      </c>
      <c r="E13" s="23" t="n">
        <v>6186</v>
      </c>
      <c r="F13" s="24" t="inlineStr">
        <is>
          <t>36.5%</t>
        </is>
      </c>
      <c r="G13" s="6" t="inlineStr">
        <is>
          <t>14.8%</t>
        </is>
      </c>
      <c r="H13" s="25" t="inlineStr"/>
    </row>
    <row r="14">
      <c r="A14" s="22" t="inlineStr">
        <is>
          <t>2017</t>
        </is>
      </c>
      <c r="B14" s="23" t="n">
        <v>16044</v>
      </c>
      <c r="C14" s="23" t="n">
        <v>8169</v>
      </c>
      <c r="D14" s="24" t="inlineStr">
        <is>
          <t>50.9%</t>
        </is>
      </c>
      <c r="E14" s="23" t="n">
        <v>5308</v>
      </c>
      <c r="F14" s="24" t="inlineStr">
        <is>
          <t>33.1%</t>
        </is>
      </c>
      <c r="G14" s="6" t="inlineStr">
        <is>
          <t>11.8%</t>
        </is>
      </c>
      <c r="H14" s="25" t="inlineStr"/>
    </row>
    <row r="15">
      <c r="A15" s="22" t="inlineStr">
        <is>
          <t>2018</t>
        </is>
      </c>
      <c r="B15" s="23" t="n">
        <v>14380</v>
      </c>
      <c r="C15" s="23" t="n">
        <v>7084</v>
      </c>
      <c r="D15" s="24" t="inlineStr">
        <is>
          <t>49.3%</t>
        </is>
      </c>
      <c r="E15" s="23" t="n">
        <v>4306</v>
      </c>
      <c r="F15" s="24" t="inlineStr">
        <is>
          <t>30.0%</t>
        </is>
      </c>
      <c r="G15" s="6" t="inlineStr">
        <is>
          <t>9.4%</t>
        </is>
      </c>
      <c r="H15" s="25" t="inlineStr"/>
    </row>
    <row r="16">
      <c r="A16" s="22" t="inlineStr">
        <is>
          <t>2019</t>
        </is>
      </c>
      <c r="B16" s="23" t="n">
        <v>15200</v>
      </c>
      <c r="C16" s="23" t="n">
        <v>7834</v>
      </c>
      <c r="D16" s="24" t="inlineStr">
        <is>
          <t>51.5%</t>
        </is>
      </c>
      <c r="E16" s="23" t="n">
        <v>5011</v>
      </c>
      <c r="F16" s="24" t="inlineStr">
        <is>
          <t>33.0%</t>
        </is>
      </c>
      <c r="G16" s="6" t="inlineStr">
        <is>
          <t>10.5%</t>
        </is>
      </c>
      <c r="H16" s="25" t="inlineStr"/>
    </row>
    <row r="17">
      <c r="A17" s="22" t="inlineStr">
        <is>
          <t>2020</t>
        </is>
      </c>
      <c r="B17" s="23" t="n">
        <v>4785</v>
      </c>
      <c r="C17" s="23" t="n">
        <v>-660</v>
      </c>
      <c r="D17" s="26" t="inlineStr">
        <is>
          <t>-13.8%</t>
        </is>
      </c>
      <c r="E17" s="23" t="n">
        <v>-4316</v>
      </c>
      <c r="F17" s="26" t="inlineStr">
        <is>
          <t>-90.2%</t>
        </is>
      </c>
      <c r="G17" s="6" t="inlineStr">
        <is>
          <t>-10.4%</t>
        </is>
      </c>
      <c r="H17" s="25" t="inlineStr">
        <is>
          <t>COVID 영업제한</t>
        </is>
      </c>
    </row>
    <row r="18">
      <c r="A18" s="22" t="inlineStr">
        <is>
          <t>2021</t>
        </is>
      </c>
      <c r="B18" s="23" t="n">
        <v>7884</v>
      </c>
      <c r="C18" s="23" t="inlineStr">
        <is>
          <t>-</t>
        </is>
      </c>
      <c r="D18" s="6" t="inlineStr">
        <is>
          <t>-</t>
        </is>
      </c>
      <c r="E18" s="23" t="n">
        <v>-527</v>
      </c>
      <c r="F18" s="26" t="inlineStr">
        <is>
          <t>-6.7%</t>
        </is>
      </c>
      <c r="G18" s="6" t="inlineStr">
        <is>
          <t>-1.3%</t>
        </is>
      </c>
      <c r="H18" s="25" t="inlineStr">
        <is>
          <t>COVID 회복 초기</t>
        </is>
      </c>
    </row>
    <row r="19">
      <c r="A19" s="22" t="inlineStr">
        <is>
          <t>2022</t>
        </is>
      </c>
      <c r="B19" s="23" t="n">
        <v>12706</v>
      </c>
      <c r="C19" s="23" t="n">
        <v>3488</v>
      </c>
      <c r="D19" s="6" t="inlineStr">
        <is>
          <t>27.5%</t>
        </is>
      </c>
      <c r="E19" s="23" t="n">
        <v>2175</v>
      </c>
      <c r="F19" s="6" t="inlineStr">
        <is>
          <t>17.1%</t>
        </is>
      </c>
      <c r="G19" s="6" t="inlineStr">
        <is>
          <t>5.0%</t>
        </is>
      </c>
      <c r="H19" s="25" t="inlineStr"/>
    </row>
    <row r="20">
      <c r="A20" s="22" t="inlineStr">
        <is>
          <t>2023</t>
        </is>
      </c>
      <c r="B20" s="23" t="n">
        <v>13885</v>
      </c>
      <c r="C20" s="23" t="n">
        <v>4091</v>
      </c>
      <c r="D20" s="6" t="inlineStr">
        <is>
          <t>29.5%</t>
        </is>
      </c>
      <c r="E20" s="23" t="n">
        <v>2822</v>
      </c>
      <c r="F20" s="6" t="inlineStr">
        <is>
          <t>20.3%</t>
        </is>
      </c>
      <c r="G20" s="6" t="inlineStr">
        <is>
          <t>6.0%</t>
        </is>
      </c>
      <c r="H20" s="25" t="inlineStr"/>
    </row>
    <row r="21">
      <c r="A21" s="22" t="inlineStr">
        <is>
          <t>2024</t>
        </is>
      </c>
      <c r="B21" s="23" t="n">
        <v>14268</v>
      </c>
      <c r="C21" s="23" t="n">
        <v>4188</v>
      </c>
      <c r="D21" s="6" t="inlineStr">
        <is>
          <t>29.4%</t>
        </is>
      </c>
      <c r="E21" s="23" t="n">
        <v>2857</v>
      </c>
      <c r="F21" s="6" t="inlineStr">
        <is>
          <t>20.0%</t>
        </is>
      </c>
      <c r="G21" s="6" t="inlineStr">
        <is>
          <t>5.7%</t>
        </is>
      </c>
      <c r="H21" s="25" t="inlineStr">
        <is>
          <t>COVID 정상화 완료</t>
        </is>
      </c>
    </row>
    <row r="23">
      <c r="A23" s="4" t="inlineStr">
        <is>
          <t>C. 면허 및 규제 환경 (핵심 해자 원천)</t>
        </is>
      </c>
    </row>
    <row r="24">
      <c r="A24" s="5" t="inlineStr">
        <is>
          <t>항목</t>
        </is>
      </c>
      <c r="B24" s="5" t="inlineStr">
        <is>
          <t>내용</t>
        </is>
      </c>
      <c r="C24" s="5" t="inlineStr">
        <is>
          <t>영향</t>
        </is>
      </c>
      <c r="D24" s="5" t="inlineStr">
        <is>
          <t>해자 기여도</t>
        </is>
      </c>
      <c r="E24" s="5" t="inlineStr"/>
      <c r="F24" s="5" t="inlineStr"/>
      <c r="G24" s="5" t="inlineStr"/>
      <c r="H24" s="5" t="inlineStr"/>
    </row>
    <row r="25">
      <c r="A25" s="7" t="inlineStr">
        <is>
          <t>카지노 면허</t>
        </is>
      </c>
      <c r="B25" s="18" t="inlineStr">
        <is>
          <t>폐광지역개발특별법에 의한 내국인 카지노 유일 면허</t>
        </is>
      </c>
      <c r="C25" s="18" t="inlineStr">
        <is>
          <t>결정적</t>
        </is>
      </c>
      <c r="D25" s="19" t="inlineStr">
        <is>
          <t>매우 높음</t>
        </is>
      </c>
      <c r="E25" s="6" t="inlineStr"/>
      <c r="F25" s="6" t="inlineStr"/>
      <c r="G25" s="6" t="inlineStr"/>
      <c r="H25" s="6" t="inlineStr"/>
    </row>
    <row r="26">
      <c r="A26" s="7" t="inlineStr">
        <is>
          <t>입장 제한</t>
        </is>
      </c>
      <c r="B26" s="18" t="inlineStr">
        <is>
          <t>월 15회 입장 제한, 24시간 이내 퇴장</t>
        </is>
      </c>
      <c r="C26" s="18" t="inlineStr">
        <is>
          <t>매출 상한선 형성</t>
        </is>
      </c>
      <c r="D26" s="6" t="inlineStr">
        <is>
          <t>중립</t>
        </is>
      </c>
      <c r="E26" s="6" t="inlineStr"/>
      <c r="F26" s="6" t="inlineStr"/>
      <c r="G26" s="6" t="inlineStr"/>
      <c r="H26" s="6" t="inlineStr"/>
    </row>
    <row r="27">
      <c r="A27" s="7" t="inlineStr">
        <is>
          <t>입장료</t>
        </is>
      </c>
      <c r="B27" s="18" t="inlineStr">
        <is>
          <t>1만원 (2014년부터 시행)</t>
        </is>
      </c>
      <c r="C27" s="18" t="inlineStr">
        <is>
          <t>소액, 수요 영향 제한적</t>
        </is>
      </c>
      <c r="D27" s="6" t="inlineStr">
        <is>
          <t>중립</t>
        </is>
      </c>
      <c r="E27" s="6" t="inlineStr"/>
      <c r="F27" s="6" t="inlineStr"/>
      <c r="G27" s="6" t="inlineStr"/>
      <c r="H27" s="6" t="inlineStr"/>
    </row>
    <row r="28">
      <c r="A28" s="7" t="inlineStr">
        <is>
          <t>영업시간</t>
        </is>
      </c>
      <c r="B28" s="18" t="inlineStr">
        <is>
          <t>24시간 영업 (2023년 정상화)</t>
        </is>
      </c>
      <c r="C28" s="18" t="inlineStr">
        <is>
          <t>COVID 기간 제한 해제</t>
        </is>
      </c>
      <c r="D28" s="19" t="inlineStr">
        <is>
          <t>긍정</t>
        </is>
      </c>
      <c r="E28" s="6" t="inlineStr"/>
      <c r="F28" s="6" t="inlineStr"/>
      <c r="G28" s="6" t="inlineStr"/>
      <c r="H28" s="6" t="inlineStr"/>
    </row>
    <row r="29">
      <c r="A29" s="7" t="inlineStr">
        <is>
          <t>사행산업 규제</t>
        </is>
      </c>
      <c r="B29" s="18" t="inlineStr">
        <is>
          <t>사행산업감독위원회 감독</t>
        </is>
      </c>
      <c r="C29" s="18" t="inlineStr">
        <is>
          <t>규제 강화 시 직접 영향</t>
        </is>
      </c>
      <c r="D29" s="20" t="inlineStr">
        <is>
          <t>리스크</t>
        </is>
      </c>
      <c r="E29" s="6" t="inlineStr"/>
      <c r="F29" s="6" t="inlineStr"/>
      <c r="G29" s="6" t="inlineStr"/>
      <c r="H29" s="6" t="inlineStr"/>
    </row>
    <row r="30">
      <c r="A30" s="7" t="inlineStr">
        <is>
          <t>지역기여 의무</t>
        </is>
      </c>
      <c r="B30" s="18" t="inlineStr">
        <is>
          <t>폐광지역 지원금, 고용 의무</t>
        </is>
      </c>
      <c r="C30" s="18" t="inlineStr">
        <is>
          <t>비용 요인이나 면허 유지 정당성</t>
        </is>
      </c>
      <c r="D30" s="6" t="inlineStr">
        <is>
          <t>중립</t>
        </is>
      </c>
      <c r="E30" s="6" t="inlineStr"/>
      <c r="F30" s="6" t="inlineStr"/>
      <c r="G30" s="6" t="inlineStr"/>
      <c r="H30" s="6" t="inlineStr"/>
    </row>
    <row r="32">
      <c r="A32" s="4" t="inlineStr">
        <is>
          <t>D. 해자 종합 평가</t>
        </is>
      </c>
    </row>
    <row r="33">
      <c r="A33" s="7" t="inlineStr">
        <is>
          <t>해자 폭</t>
        </is>
      </c>
      <c r="B33" s="27" t="inlineStr">
        <is>
          <t>Wide (규제 독점 — 가장 강력한 해자 유형)</t>
        </is>
      </c>
    </row>
    <row r="34">
      <c r="A34" s="7" t="inlineStr">
        <is>
          <t>해자 추세</t>
        </is>
      </c>
      <c r="B34" s="27" t="inlineStr">
        <is>
          <t>유지 (면허 체제 변동 가능성 낮음, 제2카지노 투자로 사업 확대)</t>
        </is>
      </c>
    </row>
    <row r="35">
      <c r="A35" s="7" t="inlineStr">
        <is>
          <t>핵심 해자</t>
        </is>
      </c>
      <c r="B35" s="27" t="inlineStr">
        <is>
          <t>폐광지역개발특별법에 의한 내국인 카지노 독점 면허</t>
        </is>
      </c>
    </row>
    <row r="36">
      <c r="A36" s="7" t="inlineStr">
        <is>
          <t>위협 요인</t>
        </is>
      </c>
      <c r="B36" s="28" t="inlineStr">
        <is>
          <t>온라인 도박 합법화, 복합리조트(영종도 등) 내국인 개방, 추가 면허</t>
        </is>
      </c>
    </row>
    <row r="37">
      <c r="A37" s="7" t="inlineStr">
        <is>
          <t>결론</t>
        </is>
      </c>
      <c r="B37" s="27" t="inlineStr">
        <is>
          <t>규제 독점 기반 Wide Moat 보유. 면허 체제 변경 전까지 해자 영구적</t>
        </is>
      </c>
    </row>
  </sheetData>
  <mergeCells count="10">
    <mergeCell ref="B36:H36"/>
    <mergeCell ref="B35:H35"/>
    <mergeCell ref="A2:H2"/>
    <mergeCell ref="A10:H10"/>
    <mergeCell ref="B33:H33"/>
    <mergeCell ref="A1:H1"/>
    <mergeCell ref="A23:H23"/>
    <mergeCell ref="A32:H32"/>
    <mergeCell ref="B34:H34"/>
    <mergeCell ref="B37:H37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D4A843"/>
    <outlinePr summaryBelow="1" summaryRight="1"/>
    <pageSetUpPr fitToPage="1"/>
  </sheetPr>
  <dimension ref="A1:H3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경영진 평가 (Management Quality)</t>
        </is>
      </c>
    </row>
    <row r="2">
      <c r="A2" s="4" t="inlineStr">
        <is>
          <t>A. 지배구조 개요</t>
        </is>
      </c>
    </row>
    <row r="3">
      <c r="A3" s="5" t="inlineStr">
        <is>
          <t>항목</t>
        </is>
      </c>
      <c r="B3" s="5" t="inlineStr">
        <is>
          <t>내용</t>
        </is>
      </c>
      <c r="C3" s="5" t="inlineStr">
        <is>
          <t>비고</t>
        </is>
      </c>
      <c r="D3" s="5" t="inlineStr"/>
      <c r="E3" s="5" t="inlineStr"/>
      <c r="F3" s="5" t="inlineStr"/>
      <c r="G3" s="5" t="inlineStr"/>
      <c r="H3" s="5" t="inlineStr"/>
    </row>
    <row r="4">
      <c r="A4" s="7" t="inlineStr">
        <is>
          <t>최대주주</t>
        </is>
      </c>
      <c r="B4" s="18" t="inlineStr">
        <is>
          <t>한국광해광업공단 (36.27%)</t>
        </is>
      </c>
      <c r="C4" s="25" t="inlineStr">
        <is>
          <t>정부 산하 공공기관</t>
        </is>
      </c>
      <c r="D4" s="6" t="inlineStr"/>
      <c r="E4" s="6" t="inlineStr"/>
      <c r="F4" s="6" t="inlineStr"/>
      <c r="G4" s="6" t="inlineStr"/>
      <c r="H4" s="6" t="inlineStr"/>
    </row>
    <row r="5">
      <c r="A5" s="7" t="inlineStr">
        <is>
          <t>경영 형태</t>
        </is>
      </c>
      <c r="B5" s="18" t="inlineStr">
        <is>
          <t>전문경영인 체제</t>
        </is>
      </c>
      <c r="C5" s="25" t="inlineStr">
        <is>
          <t>정부 영향력 하 CEO 선임</t>
        </is>
      </c>
      <c r="D5" s="6" t="inlineStr"/>
      <c r="E5" s="6" t="inlineStr"/>
      <c r="F5" s="6" t="inlineStr"/>
      <c r="G5" s="6" t="inlineStr"/>
      <c r="H5" s="6" t="inlineStr"/>
    </row>
    <row r="6">
      <c r="A6" s="29" t="inlineStr">
        <is>
          <t>현 대표이사</t>
        </is>
      </c>
      <c r="B6" s="18" t="inlineStr">
        <is>
          <t>최철규</t>
        </is>
      </c>
      <c r="C6" s="25" t="inlineStr">
        <is>
          <t>2024년 사업보고서 기준</t>
        </is>
      </c>
      <c r="D6" s="6" t="inlineStr"/>
      <c r="E6" s="6" t="inlineStr"/>
      <c r="F6" s="6" t="inlineStr"/>
      <c r="G6" s="6" t="inlineStr"/>
      <c r="H6" s="6" t="inlineStr"/>
    </row>
    <row r="7">
      <c r="A7" s="7" t="inlineStr">
        <is>
          <t>이사회 구성</t>
        </is>
      </c>
      <c r="B7" s="18" t="inlineStr">
        <is>
          <t>사외이사 과반수</t>
        </is>
      </c>
      <c r="C7" s="25" t="inlineStr">
        <is>
          <t>공기업형 지배구조</t>
        </is>
      </c>
      <c r="D7" s="6" t="inlineStr"/>
      <c r="E7" s="6" t="inlineStr"/>
      <c r="F7" s="6" t="inlineStr"/>
      <c r="G7" s="6" t="inlineStr"/>
      <c r="H7" s="6" t="inlineStr"/>
    </row>
    <row r="8">
      <c r="A8" s="7" t="inlineStr">
        <is>
          <t>감사위원회</t>
        </is>
      </c>
      <c r="B8" s="18" t="inlineStr">
        <is>
          <t>이사회 내 감사위원회 설치</t>
        </is>
      </c>
      <c r="C8" s="25" t="inlineStr">
        <is>
          <t>독립성 확보</t>
        </is>
      </c>
      <c r="D8" s="6" t="inlineStr"/>
      <c r="E8" s="6" t="inlineStr"/>
      <c r="F8" s="6" t="inlineStr"/>
      <c r="G8" s="6" t="inlineStr"/>
      <c r="H8" s="6" t="inlineStr"/>
    </row>
    <row r="10">
      <c r="A10" s="4" t="inlineStr">
        <is>
          <t>B. 대표이사 보수</t>
        </is>
      </c>
    </row>
    <row r="11">
      <c r="A11" s="30" t="inlineStr">
        <is>
          <t>개별 보수 미공개 (5억원 미만 추정). 공기업형 보수 체계 적용 → 과다 보수 리스크 낮음</t>
        </is>
      </c>
    </row>
    <row r="13">
      <c r="A13" s="4" t="inlineStr">
        <is>
          <t>C. 전문경영인 체크리스트</t>
        </is>
      </c>
    </row>
    <row r="14">
      <c r="A14" s="5" t="inlineStr"/>
      <c r="B14" s="5" t="inlineStr">
        <is>
          <t>평가 항목</t>
        </is>
      </c>
      <c r="C14" s="5" t="inlineStr">
        <is>
          <t>현황</t>
        </is>
      </c>
      <c r="D14" s="5" t="inlineStr">
        <is>
          <t>판정</t>
        </is>
      </c>
      <c r="E14" s="5" t="inlineStr">
        <is>
          <t>근거</t>
        </is>
      </c>
      <c r="F14" s="5" t="inlineStr"/>
      <c r="G14" s="5" t="inlineStr"/>
      <c r="H14" s="5" t="inlineStr"/>
    </row>
    <row r="15">
      <c r="A15" s="6" t="inlineStr">
        <is>
          <t>1</t>
        </is>
      </c>
      <c r="B15" s="7" t="inlineStr">
        <is>
          <t>최대주주 지분율</t>
        </is>
      </c>
      <c r="C15" s="18" t="inlineStr">
        <is>
          <t>36.27% (한국광해광업공단)</t>
        </is>
      </c>
      <c r="D15" s="31" t="inlineStr">
        <is>
          <t>양호</t>
        </is>
      </c>
      <c r="E15" s="25" t="inlineStr">
        <is>
          <t>공공기관 최대주주 → 적대적 M&amp;A 방어</t>
        </is>
      </c>
      <c r="F15" s="6" t="inlineStr"/>
      <c r="G15" s="6" t="inlineStr"/>
      <c r="H15" s="6" t="inlineStr"/>
    </row>
    <row r="16">
      <c r="A16" s="6" t="inlineStr">
        <is>
          <t>2</t>
        </is>
      </c>
      <c r="B16" s="7" t="inlineStr">
        <is>
          <t>CEO 임기/안정성</t>
        </is>
      </c>
      <c r="C16" s="18" t="inlineStr">
        <is>
          <t>전문경영인 교체 주기 2~3년</t>
        </is>
      </c>
      <c r="D16" s="21" t="inlineStr">
        <is>
          <t>보통</t>
        </is>
      </c>
      <c r="E16" s="25" t="inlineStr">
        <is>
          <t>정권 교체에 따른 CEO 교체 리스크</t>
        </is>
      </c>
      <c r="F16" s="6" t="inlineStr"/>
      <c r="G16" s="6" t="inlineStr"/>
      <c r="H16" s="6" t="inlineStr"/>
    </row>
    <row r="17">
      <c r="A17" s="6" t="inlineStr">
        <is>
          <t>3</t>
        </is>
      </c>
      <c r="B17" s="7" t="inlineStr">
        <is>
          <t>보수 합리성</t>
        </is>
      </c>
      <c r="C17" s="18" t="inlineStr">
        <is>
          <t>개별 미공개 (공기업 기준 적용)</t>
        </is>
      </c>
      <c r="D17" s="31" t="inlineStr">
        <is>
          <t>양호</t>
        </is>
      </c>
      <c r="E17" s="25" t="inlineStr">
        <is>
          <t>과다 보수 가능성 낮음</t>
        </is>
      </c>
      <c r="F17" s="6" t="inlineStr"/>
      <c r="G17" s="6" t="inlineStr"/>
      <c r="H17" s="6" t="inlineStr"/>
    </row>
    <row r="18">
      <c r="A18" s="6" t="inlineStr">
        <is>
          <t>4</t>
        </is>
      </c>
      <c r="B18" s="7" t="inlineStr">
        <is>
          <t>배당 정책</t>
        </is>
      </c>
      <c r="C18" s="18" t="inlineStr">
        <is>
          <t>고배당 전통 유지, 성향 45~60%</t>
        </is>
      </c>
      <c r="D18" s="19" t="inlineStr">
        <is>
          <t>우수</t>
        </is>
      </c>
      <c r="E18" s="25" t="inlineStr">
        <is>
          <t>주주환원 의지 강함</t>
        </is>
      </c>
      <c r="F18" s="6" t="inlineStr"/>
      <c r="G18" s="6" t="inlineStr"/>
      <c r="H18" s="6" t="inlineStr"/>
    </row>
    <row r="19">
      <c r="A19" s="6" t="inlineStr">
        <is>
          <t>5</t>
        </is>
      </c>
      <c r="B19" s="7" t="inlineStr">
        <is>
          <t>자사주 매입</t>
        </is>
      </c>
      <c r="C19" s="18" t="inlineStr">
        <is>
          <t>2024 233만주 취득 (약 413억)</t>
        </is>
      </c>
      <c r="D19" s="19" t="inlineStr">
        <is>
          <t>우수</t>
        </is>
      </c>
      <c r="E19" s="25" t="inlineStr">
        <is>
          <t>밸류업 프로그램 적극 참여</t>
        </is>
      </c>
      <c r="F19" s="6" t="inlineStr"/>
      <c r="G19" s="6" t="inlineStr"/>
      <c r="H19" s="6" t="inlineStr"/>
    </row>
    <row r="20">
      <c r="A20" s="6" t="inlineStr">
        <is>
          <t>6</t>
        </is>
      </c>
      <c r="B20" s="7" t="inlineStr">
        <is>
          <t>지역공헌 의무</t>
        </is>
      </c>
      <c r="C20" s="18" t="inlineStr">
        <is>
          <t>폐광지역 지원금, 지역고용 의무</t>
        </is>
      </c>
      <c r="D20" s="21" t="inlineStr">
        <is>
          <t>보통</t>
        </is>
      </c>
      <c r="E20" s="25" t="inlineStr">
        <is>
          <t>비용 요인이나 면허 정당성 확보</t>
        </is>
      </c>
      <c r="F20" s="6" t="inlineStr"/>
      <c r="G20" s="6" t="inlineStr"/>
      <c r="H20" s="6" t="inlineStr"/>
    </row>
    <row r="21">
      <c r="A21" s="6" t="inlineStr">
        <is>
          <t>7</t>
        </is>
      </c>
      <c r="B21" s="7" t="inlineStr">
        <is>
          <t>IR 활동</t>
        </is>
      </c>
      <c r="C21" s="18" t="inlineStr">
        <is>
          <t>정기 IR 개최 (연 8회+), 잠정실적 공시</t>
        </is>
      </c>
      <c r="D21" s="31" t="inlineStr">
        <is>
          <t>양호</t>
        </is>
      </c>
      <c r="E21" s="25" t="inlineStr">
        <is>
          <t>투자자 소통 적극적</t>
        </is>
      </c>
      <c r="F21" s="6" t="inlineStr"/>
      <c r="G21" s="6" t="inlineStr"/>
      <c r="H21" s="6" t="inlineStr"/>
    </row>
    <row r="23">
      <c r="A23" s="4" t="inlineStr">
        <is>
          <t>D. 주식 구조 및 자사주 현황</t>
        </is>
      </c>
    </row>
    <row r="24">
      <c r="A24" s="7" t="inlineStr">
        <is>
          <t>발행주식수(보통주)</t>
        </is>
      </c>
      <c r="B24" s="32" t="inlineStr">
        <is>
          <t>213,940,500주</t>
        </is>
      </c>
    </row>
    <row r="25">
      <c r="A25" s="7" t="inlineStr">
        <is>
          <t>자기주식</t>
        </is>
      </c>
      <c r="B25" s="32" t="inlineStr">
        <is>
          <t>13,534,816주 (6.3%)</t>
        </is>
      </c>
    </row>
    <row r="26">
      <c r="A26" s="7" t="inlineStr">
        <is>
          <t>유통주식수</t>
        </is>
      </c>
      <c r="B26" s="32" t="inlineStr">
        <is>
          <t>200,405,684주</t>
        </is>
      </c>
    </row>
    <row r="27">
      <c r="A27" s="7" t="inlineStr">
        <is>
          <t>최대주주(한국광해광업공단)</t>
        </is>
      </c>
      <c r="B27" s="32" t="inlineStr">
        <is>
          <t>77,602,044주 (36.27%)</t>
        </is>
      </c>
    </row>
    <row r="28">
      <c r="A28" s="7" t="inlineStr">
        <is>
          <t>소액주주</t>
        </is>
      </c>
      <c r="B28" s="32" t="inlineStr">
        <is>
          <t>53.38% (약 11만명)</t>
        </is>
      </c>
    </row>
    <row r="30">
      <c r="A30" s="4" t="inlineStr">
        <is>
          <t>E. 경영진 종합 평가</t>
        </is>
      </c>
    </row>
    <row r="31">
      <c r="A31" s="7" t="inlineStr">
        <is>
          <t>지배구조 점수</t>
        </is>
      </c>
      <c r="B31" s="27" t="inlineStr">
        <is>
          <t>3/5 (공기업형 전문경영인 → 오너십은 없으나 견제 기능 양호)</t>
        </is>
      </c>
    </row>
    <row r="32">
      <c r="A32" s="7" t="inlineStr">
        <is>
          <t>자본배분 점수</t>
        </is>
      </c>
      <c r="B32" s="27" t="inlineStr">
        <is>
          <t>4/5 (고배당+자사주매입 병행, 제2카지노 성장투자)</t>
        </is>
      </c>
    </row>
    <row r="33">
      <c r="A33" s="7" t="inlineStr">
        <is>
          <t>투명성 점수</t>
        </is>
      </c>
      <c r="B33" s="27" t="inlineStr">
        <is>
          <t>4/5 (정기 IR 활발, 잠정실적 분기 공시)</t>
        </is>
      </c>
    </row>
    <row r="34">
      <c r="A34" s="7" t="inlineStr">
        <is>
          <t>CEO 리스크</t>
        </is>
      </c>
      <c r="B34" s="27" t="inlineStr">
        <is>
          <t>보통 (정권교체에 따른 CEO 변경 가능. 단 사업모델이 단순하여 영향 제한적)</t>
        </is>
      </c>
    </row>
    <row r="35">
      <c r="A35" s="7" t="inlineStr">
        <is>
          <t>결론</t>
        </is>
      </c>
      <c r="B35" s="27" t="inlineStr">
        <is>
          <t>전문경영인이나 독점 사업의 단순성으로 경영진 역량 의존도 낮음. 주주환원 적극적.</t>
        </is>
      </c>
    </row>
  </sheetData>
  <mergeCells count="17">
    <mergeCell ref="B28:D28"/>
    <mergeCell ref="B32:H32"/>
    <mergeCell ref="A30:H30"/>
    <mergeCell ref="B35:H35"/>
    <mergeCell ref="A2:H2"/>
    <mergeCell ref="A10:H10"/>
    <mergeCell ref="B26:D26"/>
    <mergeCell ref="B27:D27"/>
    <mergeCell ref="A13:H13"/>
    <mergeCell ref="A11:H11"/>
    <mergeCell ref="B33:H33"/>
    <mergeCell ref="A1:H1"/>
    <mergeCell ref="A23:H23"/>
    <mergeCell ref="B25:D25"/>
    <mergeCell ref="B34:H34"/>
    <mergeCell ref="B24:D24"/>
    <mergeCell ref="B31:H31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 fitToPage="1"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자본배분 이력 (Capital Allocation History)</t>
        </is>
      </c>
    </row>
    <row r="2">
      <c r="A2" s="4" t="inlineStr">
        <is>
          <t>A. 배당 추이</t>
        </is>
      </c>
    </row>
    <row r="3">
      <c r="A3" s="5" t="inlineStr">
        <is>
          <t>연도</t>
        </is>
      </c>
      <c r="B3" s="5" t="inlineStr">
        <is>
          <t>주당배당(원)</t>
        </is>
      </c>
      <c r="C3" s="5" t="inlineStr">
        <is>
          <t>EPS(원)</t>
        </is>
      </c>
      <c r="D3" s="5" t="inlineStr">
        <is>
          <t>배당성향(%)</t>
        </is>
      </c>
      <c r="E3" s="5" t="inlineStr">
        <is>
          <t>변화</t>
        </is>
      </c>
      <c r="F3" s="5" t="inlineStr">
        <is>
          <t>비고</t>
        </is>
      </c>
      <c r="G3" s="5" t="inlineStr"/>
      <c r="H3" s="5" t="inlineStr"/>
    </row>
    <row r="4">
      <c r="A4" s="22" t="inlineStr">
        <is>
          <t>2015</t>
        </is>
      </c>
      <c r="B4" s="33" t="n">
        <v>980</v>
      </c>
      <c r="C4" s="34" t="n">
        <v>2178</v>
      </c>
      <c r="D4" s="6" t="inlineStr">
        <is>
          <t>45.0%</t>
        </is>
      </c>
      <c r="E4" s="24" t="inlineStr">
        <is>
          <t>재개</t>
        </is>
      </c>
      <c r="F4" s="25" t="inlineStr">
        <is>
          <t>고배당 전통</t>
        </is>
      </c>
      <c r="G4" s="6" t="inlineStr"/>
      <c r="H4" s="6" t="inlineStr"/>
    </row>
    <row r="5">
      <c r="A5" s="22" t="inlineStr">
        <is>
          <t>2016</t>
        </is>
      </c>
      <c r="B5" s="33" t="n">
        <v>990</v>
      </c>
      <c r="C5" s="34" t="n">
        <v>2242</v>
      </c>
      <c r="D5" s="6" t="inlineStr">
        <is>
          <t>44.2%</t>
        </is>
      </c>
      <c r="E5" s="24" t="inlineStr">
        <is>
          <t>↑</t>
        </is>
      </c>
      <c r="F5" s="25" t="inlineStr"/>
      <c r="G5" s="6" t="inlineStr"/>
      <c r="H5" s="6" t="inlineStr"/>
    </row>
    <row r="6">
      <c r="A6" s="22" t="inlineStr">
        <is>
          <t>2017</t>
        </is>
      </c>
      <c r="B6" s="33" t="n">
        <v>990</v>
      </c>
      <c r="C6" s="34" t="n">
        <v>2159</v>
      </c>
      <c r="D6" s="6" t="inlineStr">
        <is>
          <t>45.9%</t>
        </is>
      </c>
      <c r="E6" s="6" t="inlineStr">
        <is>
          <t>→</t>
        </is>
      </c>
      <c r="F6" s="25" t="inlineStr"/>
      <c r="G6" s="6" t="inlineStr"/>
      <c r="H6" s="6" t="inlineStr"/>
    </row>
    <row r="7">
      <c r="A7" s="22" t="inlineStr">
        <is>
          <t>2018</t>
        </is>
      </c>
      <c r="B7" s="33" t="n">
        <v>900</v>
      </c>
      <c r="C7" s="34" t="n">
        <v>1467</v>
      </c>
      <c r="D7" s="6" t="inlineStr">
        <is>
          <t>61.4%</t>
        </is>
      </c>
      <c r="E7" s="26" t="inlineStr">
        <is>
          <t>↓</t>
        </is>
      </c>
      <c r="F7" s="25" t="inlineStr"/>
      <c r="G7" s="6" t="inlineStr"/>
      <c r="H7" s="6" t="inlineStr"/>
    </row>
    <row r="8">
      <c r="A8" s="22" t="inlineStr">
        <is>
          <t>2019</t>
        </is>
      </c>
      <c r="B8" s="33" t="n">
        <v>900</v>
      </c>
      <c r="C8" s="34" t="n">
        <v>1651</v>
      </c>
      <c r="D8" s="6" t="inlineStr">
        <is>
          <t>54.5%</t>
        </is>
      </c>
      <c r="E8" s="6" t="inlineStr">
        <is>
          <t>→</t>
        </is>
      </c>
      <c r="F8" s="25" t="inlineStr"/>
      <c r="G8" s="6" t="inlineStr"/>
      <c r="H8" s="6" t="inlineStr"/>
    </row>
    <row r="9">
      <c r="A9" s="22" t="inlineStr">
        <is>
          <t>2020</t>
        </is>
      </c>
      <c r="B9" s="35" t="inlineStr">
        <is>
          <t>-</t>
        </is>
      </c>
      <c r="C9" s="34" t="n">
        <v>-1361</v>
      </c>
      <c r="D9" s="6" t="inlineStr">
        <is>
          <t>-</t>
        </is>
      </c>
      <c r="E9" s="6" t="inlineStr"/>
      <c r="F9" s="25" t="inlineStr">
        <is>
          <t>COVID 무배당</t>
        </is>
      </c>
      <c r="G9" s="6" t="inlineStr"/>
      <c r="H9" s="6" t="inlineStr"/>
    </row>
    <row r="10">
      <c r="A10" s="22" t="inlineStr">
        <is>
          <t>2021</t>
        </is>
      </c>
      <c r="B10" s="35" t="inlineStr">
        <is>
          <t>-</t>
        </is>
      </c>
      <c r="C10" s="34" t="n">
        <v>-52</v>
      </c>
      <c r="D10" s="6" t="inlineStr">
        <is>
          <t>-</t>
        </is>
      </c>
      <c r="E10" s="6" t="inlineStr"/>
      <c r="F10" s="25" t="inlineStr">
        <is>
          <t>COVID 무배당</t>
        </is>
      </c>
      <c r="G10" s="6" t="inlineStr"/>
      <c r="H10" s="6" t="inlineStr"/>
    </row>
    <row r="11">
      <c r="A11" s="22" t="inlineStr">
        <is>
          <t>2022</t>
        </is>
      </c>
      <c r="B11" s="33" t="n">
        <v>350</v>
      </c>
      <c r="C11" s="34" t="n">
        <v>570</v>
      </c>
      <c r="D11" s="6" t="inlineStr">
        <is>
          <t>61.4%</t>
        </is>
      </c>
      <c r="E11" s="24" t="inlineStr">
        <is>
          <t>재개</t>
        </is>
      </c>
      <c r="F11" s="25" t="inlineStr">
        <is>
          <t>배당 재개 (COVID 후)</t>
        </is>
      </c>
      <c r="G11" s="6" t="inlineStr"/>
      <c r="H11" s="6" t="inlineStr"/>
    </row>
    <row r="12">
      <c r="A12" s="22" t="inlineStr">
        <is>
          <t>2023</t>
        </is>
      </c>
      <c r="B12" s="33" t="n">
        <v>930</v>
      </c>
      <c r="C12" s="34" t="n">
        <v>1681</v>
      </c>
      <c r="D12" s="6" t="inlineStr">
        <is>
          <t>55.3%</t>
        </is>
      </c>
      <c r="E12" s="24" t="inlineStr">
        <is>
          <t>↑</t>
        </is>
      </c>
      <c r="F12" s="25" t="inlineStr">
        <is>
          <t>정상화 배당 복귀</t>
        </is>
      </c>
      <c r="G12" s="6" t="inlineStr"/>
      <c r="H12" s="6" t="inlineStr"/>
    </row>
    <row r="13">
      <c r="A13" s="22" t="inlineStr">
        <is>
          <t>2024</t>
        </is>
      </c>
      <c r="B13" s="33" t="n">
        <v>1170</v>
      </c>
      <c r="C13" s="34" t="n">
        <v>2257</v>
      </c>
      <c r="D13" s="6" t="inlineStr">
        <is>
          <t>51.3%</t>
        </is>
      </c>
      <c r="E13" s="24" t="inlineStr">
        <is>
          <t>↑</t>
        </is>
      </c>
      <c r="F13" s="25" t="inlineStr">
        <is>
          <t>대폭 인상 (+25.8%)</t>
        </is>
      </c>
      <c r="G13" s="6" t="inlineStr"/>
      <c r="H13" s="6" t="inlineStr"/>
    </row>
    <row r="14">
      <c r="A14" s="36" t="inlineStr">
        <is>
          <t>2025E</t>
        </is>
      </c>
      <c r="B14" s="37" t="n">
        <v>1300</v>
      </c>
      <c r="C14" s="38" t="inlineStr">
        <is>
          <t>-</t>
        </is>
      </c>
      <c r="D14" s="39" t="inlineStr">
        <is>
          <t>-</t>
        </is>
      </c>
      <c r="E14" s="19" t="inlineStr">
        <is>
          <t>↑</t>
        </is>
      </c>
      <c r="F14" s="40" t="inlineStr">
        <is>
          <t>예상 (배당수익률 7.3%)</t>
        </is>
      </c>
      <c r="G14" s="39" t="inlineStr"/>
      <c r="H14" s="39" t="inlineStr"/>
    </row>
    <row r="16">
      <c r="A16" s="4" t="inlineStr">
        <is>
          <t>B. 자기주식 매입/처분/소각 이력</t>
        </is>
      </c>
    </row>
    <row r="17">
      <c r="A17" s="5" t="inlineStr">
        <is>
          <t>연도</t>
        </is>
      </c>
      <c r="B17" s="5" t="inlineStr">
        <is>
          <t>기초(주)</t>
        </is>
      </c>
      <c r="C17" s="5" t="inlineStr">
        <is>
          <t>취득(주)</t>
        </is>
      </c>
      <c r="D17" s="5" t="inlineStr">
        <is>
          <t>처분(주)</t>
        </is>
      </c>
      <c r="E17" s="5" t="inlineStr">
        <is>
          <t>소각(주)</t>
        </is>
      </c>
      <c r="F17" s="5" t="inlineStr">
        <is>
          <t>기말(주)</t>
        </is>
      </c>
      <c r="G17" s="5" t="inlineStr">
        <is>
          <t>비고</t>
        </is>
      </c>
      <c r="H17" s="5" t="inlineStr"/>
    </row>
    <row r="18">
      <c r="A18" s="22" t="inlineStr">
        <is>
          <t>2013</t>
        </is>
      </c>
      <c r="B18" s="34" t="inlineStr">
        <is>
          <t>11,201,502</t>
        </is>
      </c>
      <c r="C18" s="33" t="inlineStr">
        <is>
          <t>421,990</t>
        </is>
      </c>
      <c r="D18" s="35" t="inlineStr">
        <is>
          <t>421,990</t>
        </is>
      </c>
      <c r="E18" s="34" t="inlineStr">
        <is>
          <t>-</t>
        </is>
      </c>
      <c r="F18" s="41" t="inlineStr">
        <is>
          <t>11,201,502</t>
        </is>
      </c>
      <c r="G18" s="25" t="inlineStr">
        <is>
          <t>밸류업 매입</t>
        </is>
      </c>
      <c r="H18" s="6" t="inlineStr"/>
    </row>
    <row r="19">
      <c r="A19" s="22" t="inlineStr">
        <is>
          <t>2014</t>
        </is>
      </c>
      <c r="B19" s="34" t="inlineStr">
        <is>
          <t>11,201,502</t>
        </is>
      </c>
      <c r="C19" s="34" t="inlineStr">
        <is>
          <t>-</t>
        </is>
      </c>
      <c r="D19" s="34" t="inlineStr">
        <is>
          <t>-</t>
        </is>
      </c>
      <c r="E19" s="34" t="inlineStr">
        <is>
          <t>-</t>
        </is>
      </c>
      <c r="F19" s="41" t="inlineStr">
        <is>
          <t>11,201,502</t>
        </is>
      </c>
      <c r="G19" s="25" t="inlineStr"/>
      <c r="H19" s="6" t="inlineStr"/>
    </row>
    <row r="20">
      <c r="A20" s="22" t="inlineStr">
        <is>
          <t>2015</t>
        </is>
      </c>
      <c r="B20" s="34" t="inlineStr">
        <is>
          <t>11,201,502</t>
        </is>
      </c>
      <c r="C20" s="34" t="inlineStr">
        <is>
          <t>-</t>
        </is>
      </c>
      <c r="D20" s="34" t="inlineStr">
        <is>
          <t>-</t>
        </is>
      </c>
      <c r="E20" s="34" t="inlineStr">
        <is>
          <t>-</t>
        </is>
      </c>
      <c r="F20" s="41" t="inlineStr">
        <is>
          <t>11,201,502</t>
        </is>
      </c>
      <c r="G20" s="25" t="inlineStr"/>
      <c r="H20" s="6" t="inlineStr"/>
    </row>
    <row r="21">
      <c r="A21" s="22" t="inlineStr">
        <is>
          <t>2016</t>
        </is>
      </c>
      <c r="B21" s="34" t="inlineStr">
        <is>
          <t>11,201,502</t>
        </is>
      </c>
      <c r="C21" s="34" t="inlineStr">
        <is>
          <t>-</t>
        </is>
      </c>
      <c r="D21" s="34" t="inlineStr">
        <is>
          <t>-</t>
        </is>
      </c>
      <c r="E21" s="34" t="inlineStr">
        <is>
          <t>-</t>
        </is>
      </c>
      <c r="F21" s="41" t="inlineStr">
        <is>
          <t>11,201,502</t>
        </is>
      </c>
      <c r="G21" s="25" t="inlineStr"/>
      <c r="H21" s="6" t="inlineStr"/>
    </row>
    <row r="22">
      <c r="A22" s="22" t="inlineStr">
        <is>
          <t>2017</t>
        </is>
      </c>
      <c r="B22" s="34" t="inlineStr">
        <is>
          <t>11,201,502</t>
        </is>
      </c>
      <c r="C22" s="34" t="inlineStr">
        <is>
          <t>-</t>
        </is>
      </c>
      <c r="D22" s="34" t="inlineStr">
        <is>
          <t>-</t>
        </is>
      </c>
      <c r="E22" s="34" t="inlineStr">
        <is>
          <t>-</t>
        </is>
      </c>
      <c r="F22" s="41" t="inlineStr">
        <is>
          <t>11,201,502</t>
        </is>
      </c>
      <c r="G22" s="25" t="inlineStr"/>
      <c r="H22" s="6" t="inlineStr"/>
    </row>
    <row r="23">
      <c r="A23" s="22" t="inlineStr">
        <is>
          <t>2018</t>
        </is>
      </c>
      <c r="B23" s="34" t="inlineStr">
        <is>
          <t>11,201,502</t>
        </is>
      </c>
      <c r="C23" s="34" t="inlineStr">
        <is>
          <t>-</t>
        </is>
      </c>
      <c r="D23" s="34" t="inlineStr">
        <is>
          <t>-</t>
        </is>
      </c>
      <c r="E23" s="34" t="inlineStr">
        <is>
          <t>-</t>
        </is>
      </c>
      <c r="F23" s="41" t="inlineStr">
        <is>
          <t>11,201,502</t>
        </is>
      </c>
      <c r="G23" s="25" t="inlineStr"/>
      <c r="H23" s="6" t="inlineStr"/>
    </row>
    <row r="24">
      <c r="A24" s="22" t="inlineStr">
        <is>
          <t>2019</t>
        </is>
      </c>
      <c r="B24" s="34" t="inlineStr">
        <is>
          <t>11,201,502</t>
        </is>
      </c>
      <c r="C24" s="34" t="inlineStr">
        <is>
          <t>-</t>
        </is>
      </c>
      <c r="D24" s="34" t="inlineStr">
        <is>
          <t>-</t>
        </is>
      </c>
      <c r="E24" s="34" t="inlineStr">
        <is>
          <t>-</t>
        </is>
      </c>
      <c r="F24" s="41" t="inlineStr">
        <is>
          <t>11,201,502</t>
        </is>
      </c>
      <c r="G24" s="25" t="inlineStr"/>
      <c r="H24" s="6" t="inlineStr"/>
    </row>
    <row r="25">
      <c r="A25" s="22" t="inlineStr">
        <is>
          <t>2020</t>
        </is>
      </c>
      <c r="B25" s="34" t="inlineStr">
        <is>
          <t>11,201,502</t>
        </is>
      </c>
      <c r="C25" s="34" t="inlineStr">
        <is>
          <t>-</t>
        </is>
      </c>
      <c r="D25" s="34" t="inlineStr">
        <is>
          <t>-</t>
        </is>
      </c>
      <c r="E25" s="34" t="inlineStr">
        <is>
          <t>-</t>
        </is>
      </c>
      <c r="F25" s="41" t="inlineStr">
        <is>
          <t>11,201,502</t>
        </is>
      </c>
      <c r="G25" s="25" t="inlineStr"/>
      <c r="H25" s="6" t="inlineStr"/>
    </row>
    <row r="26">
      <c r="A26" s="22" t="inlineStr">
        <is>
          <t>2021</t>
        </is>
      </c>
      <c r="B26" s="34" t="inlineStr">
        <is>
          <t>11,201,502</t>
        </is>
      </c>
      <c r="C26" s="34" t="inlineStr">
        <is>
          <t>-</t>
        </is>
      </c>
      <c r="D26" s="34" t="inlineStr">
        <is>
          <t>-</t>
        </is>
      </c>
      <c r="E26" s="34" t="inlineStr">
        <is>
          <t>-</t>
        </is>
      </c>
      <c r="F26" s="41" t="inlineStr">
        <is>
          <t>11,201,502</t>
        </is>
      </c>
      <c r="G26" s="25" t="inlineStr"/>
      <c r="H26" s="6" t="inlineStr"/>
    </row>
    <row r="27">
      <c r="A27" s="22" t="inlineStr">
        <is>
          <t>2022</t>
        </is>
      </c>
      <c r="B27" s="34" t="inlineStr">
        <is>
          <t>11,201,502</t>
        </is>
      </c>
      <c r="C27" s="34" t="inlineStr">
        <is>
          <t>-</t>
        </is>
      </c>
      <c r="D27" s="34" t="inlineStr">
        <is>
          <t>-</t>
        </is>
      </c>
      <c r="E27" s="34" t="inlineStr">
        <is>
          <t>-</t>
        </is>
      </c>
      <c r="F27" s="41" t="inlineStr">
        <is>
          <t>11,201,502</t>
        </is>
      </c>
      <c r="G27" s="25" t="inlineStr"/>
      <c r="H27" s="6" t="inlineStr"/>
    </row>
    <row r="28">
      <c r="A28" s="22" t="inlineStr">
        <is>
          <t>2024</t>
        </is>
      </c>
      <c r="B28" s="34" t="inlineStr">
        <is>
          <t>11,201,502</t>
        </is>
      </c>
      <c r="C28" s="33" t="inlineStr">
        <is>
          <t>2,333,314</t>
        </is>
      </c>
      <c r="D28" s="34" t="inlineStr">
        <is>
          <t>-</t>
        </is>
      </c>
      <c r="E28" s="34" t="inlineStr">
        <is>
          <t>-</t>
        </is>
      </c>
      <c r="F28" s="41" t="inlineStr">
        <is>
          <t>13,534,816</t>
        </is>
      </c>
      <c r="G28" s="25" t="inlineStr">
        <is>
          <t>밸류업 매입</t>
        </is>
      </c>
      <c r="H28" s="6" t="inlineStr"/>
    </row>
    <row r="29">
      <c r="A29" s="36" t="inlineStr">
        <is>
          <t>2025</t>
        </is>
      </c>
      <c r="B29" s="38" t="inlineStr">
        <is>
          <t>13,534,816</t>
        </is>
      </c>
      <c r="C29" s="37" t="inlineStr">
        <is>
          <t>진행중</t>
        </is>
      </c>
      <c r="D29" s="38" t="inlineStr">
        <is>
          <t>-</t>
        </is>
      </c>
      <c r="E29" s="38" t="inlineStr">
        <is>
          <t>-</t>
        </is>
      </c>
      <c r="F29" s="38" t="inlineStr">
        <is>
          <t>-</t>
        </is>
      </c>
      <c r="G29" s="40" t="inlineStr">
        <is>
          <t>2025.11 추가 취득 결정</t>
        </is>
      </c>
      <c r="H29" s="39" t="inlineStr"/>
    </row>
    <row r="31">
      <c r="A31" s="4" t="inlineStr">
        <is>
          <t>C. 주주환원 이벤트 타임라인</t>
        </is>
      </c>
    </row>
    <row r="32">
      <c r="A32" s="5" t="inlineStr">
        <is>
          <t>일자</t>
        </is>
      </c>
      <c r="B32" s="5" t="inlineStr">
        <is>
          <t>이벤트 유형</t>
        </is>
      </c>
      <c r="C32" s="5" t="inlineStr">
        <is>
          <t>내용</t>
        </is>
      </c>
      <c r="D32" s="5" t="inlineStr"/>
      <c r="E32" s="5" t="inlineStr"/>
      <c r="F32" s="5" t="inlineStr"/>
      <c r="G32" s="5" t="inlineStr"/>
      <c r="H32" s="5" t="inlineStr"/>
    </row>
    <row r="33">
      <c r="A33" s="42" t="inlineStr">
        <is>
          <t>2024.03</t>
        </is>
      </c>
      <c r="B33" s="24" t="inlineStr">
        <is>
          <t>배당</t>
        </is>
      </c>
      <c r="C33" s="18" t="inlineStr">
        <is>
          <t>결산배당 주당 930원 결정 (2023년분)</t>
        </is>
      </c>
      <c r="D33" s="6" t="inlineStr"/>
      <c r="E33" s="6" t="inlineStr"/>
      <c r="F33" s="6" t="inlineStr"/>
      <c r="G33" s="6" t="inlineStr"/>
      <c r="H33" s="6" t="inlineStr"/>
    </row>
    <row r="34">
      <c r="A34" s="42" t="inlineStr">
        <is>
          <t>2024.10</t>
        </is>
      </c>
      <c r="B34" s="43" t="inlineStr">
        <is>
          <t>자기주식</t>
        </is>
      </c>
      <c r="C34" s="18" t="inlineStr">
        <is>
          <t>자기주식 취득 결정 (233만주, 약 413억)</t>
        </is>
      </c>
      <c r="D34" s="6" t="inlineStr"/>
      <c r="E34" s="6" t="inlineStr"/>
      <c r="F34" s="6" t="inlineStr"/>
      <c r="G34" s="6" t="inlineStr"/>
      <c r="H34" s="6" t="inlineStr"/>
    </row>
    <row r="35">
      <c r="A35" s="42" t="inlineStr">
        <is>
          <t>2024.11</t>
        </is>
      </c>
      <c r="B35" s="43" t="inlineStr">
        <is>
          <t>신규투자</t>
        </is>
      </c>
      <c r="C35" s="18" t="inlineStr">
        <is>
          <t>제2카지노영업장 조성사업 1,796억 투자 결정</t>
        </is>
      </c>
      <c r="D35" s="6" t="inlineStr"/>
      <c r="E35" s="6" t="inlineStr"/>
      <c r="F35" s="6" t="inlineStr"/>
      <c r="G35" s="6" t="inlineStr"/>
      <c r="H35" s="6" t="inlineStr"/>
    </row>
    <row r="36">
      <c r="A36" s="42" t="inlineStr">
        <is>
          <t>2025.03</t>
        </is>
      </c>
      <c r="B36" s="24" t="inlineStr">
        <is>
          <t>배당</t>
        </is>
      </c>
      <c r="C36" s="18" t="inlineStr">
        <is>
          <t>결산배당 주당 1,170원 결정 (2024년분, +25.8%)</t>
        </is>
      </c>
      <c r="D36" s="6" t="inlineStr"/>
      <c r="E36" s="6" t="inlineStr"/>
      <c r="F36" s="6" t="inlineStr"/>
      <c r="G36" s="6" t="inlineStr"/>
      <c r="H36" s="6" t="inlineStr"/>
    </row>
    <row r="37">
      <c r="A37" s="42" t="inlineStr">
        <is>
          <t>2025.11</t>
        </is>
      </c>
      <c r="B37" s="43" t="inlineStr">
        <is>
          <t>자기주식</t>
        </is>
      </c>
      <c r="C37" s="18" t="inlineStr">
        <is>
          <t>자기주식 추가 취득 결정</t>
        </is>
      </c>
      <c r="D37" s="6" t="inlineStr"/>
      <c r="E37" s="6" t="inlineStr"/>
      <c r="F37" s="6" t="inlineStr"/>
      <c r="G37" s="6" t="inlineStr"/>
      <c r="H37" s="6" t="inlineStr"/>
    </row>
    <row r="39">
      <c r="A39" s="4" t="inlineStr">
        <is>
          <t>D. 유상증자/전환사채 이력 (주요)</t>
        </is>
      </c>
    </row>
    <row r="40">
      <c r="A40" s="44" t="inlineStr">
        <is>
          <t>유상증자/CB 발행 이력 없음 → 주주 희석 리스크 없음 (무차입경영)</t>
        </is>
      </c>
    </row>
    <row r="42">
      <c r="A42" s="4" t="inlineStr">
        <is>
          <t>E. 자본배분 점수카드</t>
        </is>
      </c>
    </row>
    <row r="43">
      <c r="A43" s="7" t="inlineStr">
        <is>
          <t>배당 일관성</t>
        </is>
      </c>
      <c r="B43" s="31" t="inlineStr">
        <is>
          <t>4/5</t>
        </is>
      </c>
      <c r="C43" s="18" t="inlineStr">
        <is>
          <t>10년 중 2년(2020~2021) COVID 무배당 외 연속 배당, 고배당성향 45~60%</t>
        </is>
      </c>
      <c r="D43" s="6" t="inlineStr"/>
      <c r="E43" s="6" t="inlineStr"/>
      <c r="F43" s="6" t="inlineStr"/>
      <c r="G43" s="6" t="inlineStr"/>
      <c r="H43" s="6" t="inlineStr"/>
    </row>
    <row r="44">
      <c r="A44" s="7" t="inlineStr">
        <is>
          <t>자사주 정책</t>
        </is>
      </c>
      <c r="B44" s="31" t="inlineStr">
        <is>
          <t>4/5</t>
        </is>
      </c>
      <c r="C44" s="18" t="inlineStr">
        <is>
          <t>2024년 233만주 매입(413억) + 2025년 추가 매입 결정</t>
        </is>
      </c>
      <c r="D44" s="6" t="inlineStr"/>
      <c r="E44" s="6" t="inlineStr"/>
      <c r="F44" s="6" t="inlineStr"/>
      <c r="G44" s="6" t="inlineStr"/>
      <c r="H44" s="6" t="inlineStr"/>
    </row>
    <row r="45">
      <c r="A45" s="7" t="inlineStr">
        <is>
          <t>유상증자/CB</t>
        </is>
      </c>
      <c r="B45" s="19" t="inlineStr">
        <is>
          <t>5/5</t>
        </is>
      </c>
      <c r="C45" s="18" t="inlineStr">
        <is>
          <t>무차입경영, 유상증자/CB 이력 전무</t>
        </is>
      </c>
      <c r="D45" s="6" t="inlineStr"/>
      <c r="E45" s="6" t="inlineStr"/>
      <c r="F45" s="6" t="inlineStr"/>
      <c r="G45" s="6" t="inlineStr"/>
      <c r="H45" s="6" t="inlineStr"/>
    </row>
    <row r="46">
      <c r="A46" s="7" t="inlineStr">
        <is>
          <t>투자(CAPEX)</t>
        </is>
      </c>
      <c r="B46" s="31" t="inlineStr">
        <is>
          <t>4/5</t>
        </is>
      </c>
      <c r="C46" s="18" t="inlineStr">
        <is>
          <t>CAPEX/영업CF 22% — 제2카지노 성장투자 적절</t>
        </is>
      </c>
      <c r="D46" s="6" t="inlineStr"/>
      <c r="E46" s="6" t="inlineStr"/>
      <c r="F46" s="6" t="inlineStr"/>
      <c r="G46" s="6" t="inlineStr"/>
      <c r="H46" s="6" t="inlineStr"/>
    </row>
    <row r="47">
      <c r="A47" s="7" t="inlineStr">
        <is>
          <t>배당수익률</t>
        </is>
      </c>
      <c r="B47" s="19" t="inlineStr">
        <is>
          <t>5/5</t>
        </is>
      </c>
      <c r="C47" s="18" t="inlineStr">
        <is>
          <t>DPS 1,170원 / 주가 17,690원 = 6.6% — 시장 상위</t>
        </is>
      </c>
      <c r="D47" s="6" t="inlineStr"/>
      <c r="E47" s="6" t="inlineStr"/>
      <c r="F47" s="6" t="inlineStr"/>
      <c r="G47" s="6" t="inlineStr"/>
      <c r="H47" s="6" t="inlineStr"/>
    </row>
  </sheetData>
  <mergeCells count="7">
    <mergeCell ref="A39:H39"/>
    <mergeCell ref="A16:H16"/>
    <mergeCell ref="A2:H2"/>
    <mergeCell ref="A42:H42"/>
    <mergeCell ref="A1:H1"/>
    <mergeCell ref="A31:H31"/>
    <mergeCell ref="A40:H40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 fitToPage="1"/>
  </sheetPr>
  <dimension ref="A1:H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수익성 품질 분석 (Earnings Quality)</t>
        </is>
      </c>
    </row>
    <row r="2">
      <c r="A2" s="4" t="inlineStr">
        <is>
          <t>A. DuPont 3단계 분해 (5년)</t>
        </is>
      </c>
    </row>
    <row r="3">
      <c r="A3" s="5" t="inlineStr">
        <is>
          <t>연도</t>
        </is>
      </c>
      <c r="B3" s="5" t="inlineStr">
        <is>
          <t>순이익률</t>
        </is>
      </c>
      <c r="C3" s="5" t="inlineStr">
        <is>
          <t>자산회전율</t>
        </is>
      </c>
      <c r="D3" s="5" t="inlineStr">
        <is>
          <t>레버리지</t>
        </is>
      </c>
      <c r="E3" s="5" t="inlineStr">
        <is>
          <t>ROE</t>
        </is>
      </c>
      <c r="F3" s="5" t="inlineStr">
        <is>
          <t>ROE (산식확인)</t>
        </is>
      </c>
      <c r="G3" s="5" t="inlineStr">
        <is>
          <t>비고</t>
        </is>
      </c>
      <c r="H3" s="5" t="inlineStr"/>
    </row>
    <row r="4">
      <c r="A4" s="22" t="inlineStr">
        <is>
          <t>2020</t>
        </is>
      </c>
      <c r="B4" s="26" t="inlineStr">
        <is>
          <t>-57.6%</t>
        </is>
      </c>
      <c r="C4" s="6" t="inlineStr">
        <is>
          <t>0.13회</t>
        </is>
      </c>
      <c r="D4" s="6" t="inlineStr">
        <is>
          <t>1.12배</t>
        </is>
      </c>
      <c r="E4" s="26" t="inlineStr">
        <is>
          <t>-8.5%</t>
        </is>
      </c>
      <c r="F4" s="25">
        <f> -57.6×0.13×1.12</f>
        <v/>
      </c>
      <c r="G4" s="25" t="inlineStr">
        <is>
          <t>COVID 적자</t>
        </is>
      </c>
      <c r="H4" s="6" t="inlineStr"/>
    </row>
    <row r="5">
      <c r="A5" s="22" t="inlineStr">
        <is>
          <t>2021</t>
        </is>
      </c>
      <c r="B5" s="26" t="inlineStr">
        <is>
          <t>-1.3%</t>
        </is>
      </c>
      <c r="C5" s="6" t="inlineStr">
        <is>
          <t>0.21회</t>
        </is>
      </c>
      <c r="D5" s="6" t="inlineStr">
        <is>
          <t>1.18배</t>
        </is>
      </c>
      <c r="E5" s="26" t="inlineStr">
        <is>
          <t>-0.3%</t>
        </is>
      </c>
      <c r="F5" s="25">
        <f> -1.3×0.21×1.18</f>
        <v/>
      </c>
      <c r="G5" s="25" t="inlineStr"/>
      <c r="H5" s="6" t="inlineStr"/>
    </row>
    <row r="6">
      <c r="A6" s="22" t="inlineStr">
        <is>
          <t>2022</t>
        </is>
      </c>
      <c r="B6" s="6" t="inlineStr">
        <is>
          <t>9.1%</t>
        </is>
      </c>
      <c r="C6" s="6" t="inlineStr">
        <is>
          <t>0.30회</t>
        </is>
      </c>
      <c r="D6" s="6" t="inlineStr">
        <is>
          <t>1.22배</t>
        </is>
      </c>
      <c r="E6" s="6" t="inlineStr">
        <is>
          <t>3.4%</t>
        </is>
      </c>
      <c r="F6" s="25">
        <f> 9.1×0.30×1.22</f>
        <v/>
      </c>
      <c r="G6" s="25" t="inlineStr"/>
      <c r="H6" s="6" t="inlineStr"/>
    </row>
    <row r="7">
      <c r="A7" s="22" t="inlineStr">
        <is>
          <t>2023</t>
        </is>
      </c>
      <c r="B7" s="24" t="inlineStr">
        <is>
          <t>24.6%</t>
        </is>
      </c>
      <c r="C7" s="6" t="inlineStr">
        <is>
          <t>0.31회</t>
        </is>
      </c>
      <c r="D7" s="6" t="inlineStr">
        <is>
          <t>1.21배</t>
        </is>
      </c>
      <c r="E7" s="6" t="inlineStr">
        <is>
          <t>9.3%</t>
        </is>
      </c>
      <c r="F7" s="25">
        <f> 24.6×0.31×1.21</f>
        <v/>
      </c>
      <c r="G7" s="25" t="inlineStr"/>
      <c r="H7" s="6" t="inlineStr"/>
    </row>
    <row r="8">
      <c r="A8" s="22" t="inlineStr">
        <is>
          <t>2024</t>
        </is>
      </c>
      <c r="B8" s="24" t="inlineStr">
        <is>
          <t>32.0%</t>
        </is>
      </c>
      <c r="C8" s="6" t="inlineStr">
        <is>
          <t>0.30회</t>
        </is>
      </c>
      <c r="D8" s="6" t="inlineStr">
        <is>
          <t>1.21배</t>
        </is>
      </c>
      <c r="E8" s="24" t="inlineStr">
        <is>
          <t>11.8%</t>
        </is>
      </c>
      <c r="F8" s="25">
        <f> 32.0×0.30×1.21</f>
        <v/>
      </c>
      <c r="G8" s="25" t="inlineStr">
        <is>
          <t>정상화 완료</t>
        </is>
      </c>
      <c r="H8" s="6" t="inlineStr"/>
    </row>
    <row r="10">
      <c r="A10" s="45" t="inlineStr">
        <is>
          <t>정상 연도 평균 ROE: 8.1% | 판정: 보통  (COVID 기간 제외)</t>
        </is>
      </c>
    </row>
    <row r="12">
      <c r="A12" s="4" t="inlineStr">
        <is>
          <t>B. FCF 대 순이익 비율 (현금이익 품질)</t>
        </is>
      </c>
    </row>
    <row r="13">
      <c r="A13" s="5" t="inlineStr">
        <is>
          <t>연도</t>
        </is>
      </c>
      <c r="B13" s="5" t="inlineStr">
        <is>
          <t>순이익(억)</t>
        </is>
      </c>
      <c r="C13" s="5" t="inlineStr">
        <is>
          <t>영업CF(억)</t>
        </is>
      </c>
      <c r="D13" s="5" t="inlineStr">
        <is>
          <t>CAPEX(억)</t>
        </is>
      </c>
      <c r="E13" s="5" t="inlineStr">
        <is>
          <t>FCF(억)</t>
        </is>
      </c>
      <c r="F13" s="5" t="inlineStr">
        <is>
          <t>FCF/NI</t>
        </is>
      </c>
      <c r="G13" s="5" t="inlineStr">
        <is>
          <t>판정</t>
        </is>
      </c>
      <c r="H13" s="5" t="inlineStr"/>
    </row>
    <row r="14">
      <c r="A14" s="22" t="inlineStr">
        <is>
          <t>2020</t>
        </is>
      </c>
      <c r="B14" s="23" t="n">
        <v>-2759</v>
      </c>
      <c r="C14" s="23" t="n">
        <v>0</v>
      </c>
      <c r="D14" s="23" t="n">
        <v>589</v>
      </c>
      <c r="E14" s="46" t="n">
        <v>-589</v>
      </c>
      <c r="F14" s="20" t="inlineStr">
        <is>
          <t>-</t>
        </is>
      </c>
      <c r="G14" s="20" t="inlineStr">
        <is>
          <t>적자</t>
        </is>
      </c>
      <c r="H14" s="6" t="inlineStr"/>
    </row>
    <row r="15">
      <c r="A15" s="22" t="inlineStr">
        <is>
          <t>2021</t>
        </is>
      </c>
      <c r="B15" s="23" t="n">
        <v>-106</v>
      </c>
      <c r="C15" s="23" t="n">
        <v>0</v>
      </c>
      <c r="D15" s="23" t="n">
        <v>429</v>
      </c>
      <c r="E15" s="46" t="n">
        <v>-429</v>
      </c>
      <c r="F15" s="20" t="inlineStr">
        <is>
          <t>-</t>
        </is>
      </c>
      <c r="G15" s="20" t="inlineStr">
        <is>
          <t>적자</t>
        </is>
      </c>
      <c r="H15" s="6" t="inlineStr"/>
    </row>
    <row r="16">
      <c r="A16" s="22" t="inlineStr">
        <is>
          <t>2022</t>
        </is>
      </c>
      <c r="B16" s="23" t="n">
        <v>1156</v>
      </c>
      <c r="C16" s="23" t="n">
        <v>0</v>
      </c>
      <c r="D16" s="23" t="n">
        <v>294</v>
      </c>
      <c r="E16" s="46" t="n">
        <v>-294</v>
      </c>
      <c r="F16" s="20" t="inlineStr">
        <is>
          <t>-25%</t>
        </is>
      </c>
      <c r="G16" s="20" t="inlineStr">
        <is>
          <t>경고</t>
        </is>
      </c>
      <c r="H16" s="6" t="inlineStr"/>
    </row>
    <row r="17">
      <c r="A17" s="22" t="inlineStr">
        <is>
          <t>2023</t>
        </is>
      </c>
      <c r="B17" s="23" t="n">
        <v>3408</v>
      </c>
      <c r="C17" s="23" t="n">
        <v>3378</v>
      </c>
      <c r="D17" s="23" t="n">
        <v>708</v>
      </c>
      <c r="E17" s="46" t="n">
        <v>2670</v>
      </c>
      <c r="F17" s="21" t="inlineStr">
        <is>
          <t>78%</t>
        </is>
      </c>
      <c r="G17" s="21" t="inlineStr">
        <is>
          <t>주의</t>
        </is>
      </c>
      <c r="H17" s="6" t="inlineStr"/>
    </row>
    <row r="18">
      <c r="A18" s="22" t="inlineStr">
        <is>
          <t>2024</t>
        </is>
      </c>
      <c r="B18" s="23" t="n">
        <v>4568</v>
      </c>
      <c r="C18" s="23" t="n">
        <v>4870</v>
      </c>
      <c r="D18" s="23" t="n">
        <v>1074</v>
      </c>
      <c r="E18" s="46" t="n">
        <v>3796</v>
      </c>
      <c r="F18" s="19" t="inlineStr">
        <is>
          <t>83%</t>
        </is>
      </c>
      <c r="G18" s="19" t="inlineStr">
        <is>
          <t>양호</t>
        </is>
      </c>
      <c r="H18" s="6" t="inlineStr"/>
    </row>
    <row r="20">
      <c r="A20" s="4" t="inlineStr">
        <is>
          <t>C. 발생액 비율 (Accrual Ratio)</t>
        </is>
      </c>
    </row>
    <row r="21">
      <c r="A21" s="47" t="inlineStr">
        <is>
          <t>발생액 비율 = (순이익 - 영업CF) / 총자산  |  ±5% 이내 양호, ±10% 초과 경고</t>
        </is>
      </c>
    </row>
    <row r="22">
      <c r="A22" s="5" t="inlineStr">
        <is>
          <t>연도</t>
        </is>
      </c>
      <c r="B22" s="5" t="inlineStr">
        <is>
          <t>순이익(억)</t>
        </is>
      </c>
      <c r="C22" s="5" t="inlineStr">
        <is>
          <t>영업CF(억)</t>
        </is>
      </c>
      <c r="D22" s="5" t="inlineStr">
        <is>
          <t>차이(억)</t>
        </is>
      </c>
      <c r="E22" s="5" t="inlineStr">
        <is>
          <t>총자산(억)</t>
        </is>
      </c>
      <c r="F22" s="5" t="inlineStr">
        <is>
          <t>발생액비율</t>
        </is>
      </c>
      <c r="G22" s="5" t="inlineStr">
        <is>
          <t>판정</t>
        </is>
      </c>
      <c r="H22" s="5" t="inlineStr"/>
    </row>
    <row r="23">
      <c r="A23" s="22" t="inlineStr">
        <is>
          <t>2020</t>
        </is>
      </c>
      <c r="B23" s="23" t="n">
        <v>-2759</v>
      </c>
      <c r="C23" s="23" t="n">
        <v>0</v>
      </c>
      <c r="D23" s="48" t="n">
        <v>-2759</v>
      </c>
      <c r="E23" s="23" t="n">
        <v>36416</v>
      </c>
      <c r="F23" s="21" t="inlineStr">
        <is>
          <t>-7.6%</t>
        </is>
      </c>
      <c r="G23" s="21" t="inlineStr">
        <is>
          <t>주의</t>
        </is>
      </c>
      <c r="H23" s="6" t="inlineStr"/>
    </row>
    <row r="24">
      <c r="A24" s="22" t="inlineStr">
        <is>
          <t>2021</t>
        </is>
      </c>
      <c r="B24" s="23" t="n">
        <v>-106</v>
      </c>
      <c r="C24" s="23" t="n">
        <v>0</v>
      </c>
      <c r="D24" s="48" t="n">
        <v>-106</v>
      </c>
      <c r="E24" s="23" t="n">
        <v>38272</v>
      </c>
      <c r="F24" s="19" t="inlineStr">
        <is>
          <t>-0.3%</t>
        </is>
      </c>
      <c r="G24" s="19" t="inlineStr">
        <is>
          <t>양호</t>
        </is>
      </c>
      <c r="H24" s="6" t="inlineStr"/>
    </row>
    <row r="25">
      <c r="A25" s="22" t="inlineStr">
        <is>
          <t>2022</t>
        </is>
      </c>
      <c r="B25" s="23" t="n">
        <v>1156</v>
      </c>
      <c r="C25" s="23" t="n">
        <v>0</v>
      </c>
      <c r="D25" s="49" t="n">
        <v>1156</v>
      </c>
      <c r="E25" s="23" t="n">
        <v>41677</v>
      </c>
      <c r="F25" s="19" t="inlineStr">
        <is>
          <t>2.8%</t>
        </is>
      </c>
      <c r="G25" s="19" t="inlineStr">
        <is>
          <t>양호</t>
        </is>
      </c>
      <c r="H25" s="6" t="inlineStr"/>
    </row>
    <row r="26">
      <c r="A26" s="22" t="inlineStr">
        <is>
          <t>2023</t>
        </is>
      </c>
      <c r="B26" s="23" t="n">
        <v>3408</v>
      </c>
      <c r="C26" s="23" t="n">
        <v>3378</v>
      </c>
      <c r="D26" s="49" t="n">
        <v>30</v>
      </c>
      <c r="E26" s="23" t="n">
        <v>44486</v>
      </c>
      <c r="F26" s="19" t="inlineStr">
        <is>
          <t>0.1%</t>
        </is>
      </c>
      <c r="G26" s="19" t="inlineStr">
        <is>
          <t>양호</t>
        </is>
      </c>
      <c r="H26" s="6" t="inlineStr"/>
    </row>
    <row r="27">
      <c r="A27" s="22" t="inlineStr">
        <is>
          <t>2024</t>
        </is>
      </c>
      <c r="B27" s="23" t="n">
        <v>4568</v>
      </c>
      <c r="C27" s="23" t="n">
        <v>4870</v>
      </c>
      <c r="D27" s="48" t="n">
        <v>-302</v>
      </c>
      <c r="E27" s="23" t="n">
        <v>47006</v>
      </c>
      <c r="F27" s="19" t="inlineStr">
        <is>
          <t>-0.6%</t>
        </is>
      </c>
      <c r="G27" s="19" t="inlineStr">
        <is>
          <t>양호</t>
        </is>
      </c>
      <c r="H27" s="6" t="inlineStr"/>
    </row>
    <row r="29">
      <c r="A29" s="4" t="inlineStr">
        <is>
          <t>D. 이익 변동성 (Earnings Volatility)</t>
        </is>
      </c>
    </row>
    <row r="30">
      <c r="A30" s="5" t="inlineStr">
        <is>
          <t>지표</t>
        </is>
      </c>
      <c r="B30" s="5" t="inlineStr">
        <is>
          <t>값</t>
        </is>
      </c>
      <c r="C30" s="5" t="inlineStr">
        <is>
          <t>판정</t>
        </is>
      </c>
      <c r="D30" s="5" t="inlineStr">
        <is>
          <t>기준</t>
        </is>
      </c>
      <c r="E30" s="5" t="inlineStr"/>
      <c r="F30" s="5" t="inlineStr"/>
      <c r="G30" s="5" t="inlineStr"/>
      <c r="H30" s="5" t="inlineStr"/>
    </row>
    <row r="31">
      <c r="A31" s="7" t="inlineStr">
        <is>
          <t>영업이익 평균 (정상3년)</t>
        </is>
      </c>
      <c r="B31" s="50" t="inlineStr">
        <is>
          <t>2,618억</t>
        </is>
      </c>
      <c r="C31" s="6" t="inlineStr"/>
      <c r="D31" s="18" t="inlineStr"/>
      <c r="E31" s="6" t="inlineStr"/>
      <c r="F31" s="6" t="inlineStr"/>
      <c r="G31" s="6" t="inlineStr"/>
      <c r="H31" s="6" t="inlineStr"/>
    </row>
    <row r="32">
      <c r="A32" s="7" t="inlineStr">
        <is>
          <t>영업이익 표준편차</t>
        </is>
      </c>
      <c r="B32" s="34" t="inlineStr">
        <is>
          <t>384억</t>
        </is>
      </c>
      <c r="C32" s="6" t="inlineStr"/>
      <c r="D32" s="18" t="inlineStr"/>
      <c r="E32" s="6" t="inlineStr"/>
      <c r="F32" s="6" t="inlineStr"/>
      <c r="G32" s="6" t="inlineStr"/>
      <c r="H32" s="6" t="inlineStr"/>
    </row>
    <row r="33">
      <c r="A33" s="7" t="inlineStr">
        <is>
          <t>변동계수 (CV)</t>
        </is>
      </c>
      <c r="B33" s="19" t="inlineStr">
        <is>
          <t>0.15</t>
        </is>
      </c>
      <c r="C33" s="19" t="inlineStr">
        <is>
          <t>안정적</t>
        </is>
      </c>
      <c r="D33" s="25" t="inlineStr">
        <is>
          <t>&lt;0.3 안정 / 0.3~0.6 보통 / &gt;0.6 높음</t>
        </is>
      </c>
      <c r="E33" s="6" t="inlineStr"/>
      <c r="F33" s="6" t="inlineStr"/>
      <c r="G33" s="6" t="inlineStr"/>
      <c r="H33" s="6" t="inlineStr"/>
    </row>
    <row r="35">
      <c r="A35" s="51" t="inlineStr">
        <is>
          <t>주의: COVID 기간(2020~2021) 포함 시 변동성 극대화. 정상 연도(2022~2024) 기준으로 분석</t>
        </is>
      </c>
    </row>
    <row r="37">
      <c r="A37" s="4" t="inlineStr">
        <is>
          <t>E. 수익성 품질 종합</t>
        </is>
      </c>
    </row>
    <row r="38">
      <c r="A38" s="7" t="inlineStr">
        <is>
          <t>DuPont 분석</t>
        </is>
      </c>
      <c r="B38" s="27" t="inlineStr">
        <is>
          <t>정상연도 평균 ROE 8.1% — 독점 사업의 높은 수익성. 레버리지 낮음(1.1~1.2배, 무차입)</t>
        </is>
      </c>
    </row>
    <row r="39">
      <c r="A39" s="7" t="inlineStr">
        <is>
          <t>FCF 품질</t>
        </is>
      </c>
      <c r="B39" s="27" t="inlineStr">
        <is>
          <t>영업CF가 순이익을 크게 상회 — 현금이익 우수. 감가상각비가 높아 FCF 창출력 양호</t>
        </is>
      </c>
    </row>
    <row r="40">
      <c r="A40" s="7" t="inlineStr">
        <is>
          <t>발생액</t>
        </is>
      </c>
      <c r="B40" s="27" t="inlineStr">
        <is>
          <t>대부분 ±5% 이내 — 이익의 현금 뒷받침 양호</t>
        </is>
      </c>
    </row>
    <row r="41">
      <c r="A41" s="7" t="inlineStr">
        <is>
          <t>이익 변동성</t>
        </is>
      </c>
      <c r="B41" s="27" t="inlineStr">
        <is>
          <t>정상연도 CV 0.15 — COVID 제외 시 안정적. 독점 사업의 이익 안정성</t>
        </is>
      </c>
    </row>
    <row r="42">
      <c r="A42" s="7" t="inlineStr">
        <is>
          <t>결론</t>
        </is>
      </c>
      <c r="B42" s="27" t="inlineStr">
        <is>
          <t>이익 품질 우수. 독점 카지노의 높은 현금창출력과 낮은 레버리지가 핵심. COVID는 일회성 이벤트</t>
        </is>
      </c>
    </row>
  </sheetData>
  <mergeCells count="14">
    <mergeCell ref="A12:H12"/>
    <mergeCell ref="A21:H21"/>
    <mergeCell ref="B40:H40"/>
    <mergeCell ref="A29:H29"/>
    <mergeCell ref="A35:H35"/>
    <mergeCell ref="B41:H41"/>
    <mergeCell ref="A20:H20"/>
    <mergeCell ref="B42:H42"/>
    <mergeCell ref="A2:H2"/>
    <mergeCell ref="A10:H10"/>
    <mergeCell ref="B39:H39"/>
    <mergeCell ref="B38:H38"/>
    <mergeCell ref="A1:H1"/>
    <mergeCell ref="A37:H37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tabColor rgb="002980B9"/>
    <outlinePr summaryBelow="1" summaryRight="1"/>
    <pageSetUpPr fitToPage="1"/>
  </sheetPr>
  <dimension ref="A1:H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내재가치 &amp; 안전마진 분석</t>
        </is>
      </c>
    </row>
    <row r="2">
      <c r="A2" s="4" t="inlineStr">
        <is>
          <t>A. Owner Earnings (버핏 방식)</t>
        </is>
      </c>
    </row>
    <row r="3">
      <c r="A3" s="5" t="inlineStr">
        <is>
          <t>항목</t>
        </is>
      </c>
      <c r="B3" s="5" t="inlineStr">
        <is>
          <t>2024(억)</t>
        </is>
      </c>
      <c r="C3" s="5" t="inlineStr">
        <is>
          <t>주당(원)</t>
        </is>
      </c>
      <c r="D3" s="5" t="inlineStr">
        <is>
          <t>비고</t>
        </is>
      </c>
      <c r="E3" s="5" t="inlineStr"/>
      <c r="F3" s="5" t="inlineStr"/>
      <c r="G3" s="5" t="inlineStr"/>
      <c r="H3" s="5" t="inlineStr"/>
    </row>
    <row r="4">
      <c r="A4" s="52" t="inlineStr">
        <is>
          <t>순이익</t>
        </is>
      </c>
      <c r="B4" s="34" t="inlineStr">
        <is>
          <t>4,568</t>
        </is>
      </c>
      <c r="C4" s="25" t="inlineStr">
        <is>
          <t>2,135</t>
        </is>
      </c>
      <c r="D4" s="18" t="inlineStr">
        <is>
          <t>연결 지배기업</t>
        </is>
      </c>
      <c r="E4" s="6" t="inlineStr"/>
      <c r="F4" s="6" t="inlineStr"/>
      <c r="G4" s="6" t="inlineStr"/>
      <c r="H4" s="6" t="inlineStr"/>
    </row>
    <row r="5">
      <c r="A5" s="52" t="inlineStr">
        <is>
          <t>(+) 감가상각비</t>
        </is>
      </c>
      <c r="B5" s="34" t="inlineStr">
        <is>
          <t>784</t>
        </is>
      </c>
      <c r="C5" s="25" t="inlineStr">
        <is>
          <t>366</t>
        </is>
      </c>
      <c r="D5" s="18" t="inlineStr">
        <is>
          <t>유형+무형</t>
        </is>
      </c>
      <c r="E5" s="6" t="inlineStr"/>
      <c r="F5" s="6" t="inlineStr"/>
      <c r="G5" s="6" t="inlineStr"/>
      <c r="H5" s="6" t="inlineStr"/>
    </row>
    <row r="6">
      <c r="A6" s="52" t="inlineStr">
        <is>
          <t>(-) CAPEX</t>
        </is>
      </c>
      <c r="B6" s="34" t="inlineStr">
        <is>
          <t>1,074</t>
        </is>
      </c>
      <c r="C6" s="25" t="inlineStr">
        <is>
          <t>502</t>
        </is>
      </c>
      <c r="D6" s="18" t="inlineStr">
        <is>
          <t>유형자산 취득</t>
        </is>
      </c>
      <c r="E6" s="6" t="inlineStr"/>
      <c r="F6" s="6" t="inlineStr"/>
      <c r="G6" s="6" t="inlineStr"/>
      <c r="H6" s="6" t="inlineStr"/>
    </row>
    <row r="7">
      <c r="A7" s="45" t="inlineStr">
        <is>
          <t>(=) Owner Earnings</t>
        </is>
      </c>
      <c r="B7" s="50" t="inlineStr">
        <is>
          <t>4,278</t>
        </is>
      </c>
      <c r="C7" s="25" t="inlineStr">
        <is>
          <t>1,999</t>
        </is>
      </c>
      <c r="D7" s="18" t="inlineStr">
        <is>
          <t>버핏이 보는 진정한 이익</t>
        </is>
      </c>
      <c r="E7" s="6" t="inlineStr"/>
      <c r="F7" s="6" t="inlineStr"/>
      <c r="G7" s="6" t="inlineStr"/>
      <c r="H7" s="6" t="inlineStr"/>
    </row>
    <row r="9">
      <c r="A9" s="53" t="inlineStr">
        <is>
          <t>현재 시총/Owner Earnings = 8.8배  |  Owner Earnings 수익률 = 11.3%</t>
        </is>
      </c>
    </row>
    <row r="11">
      <c r="A11" s="4" t="inlineStr">
        <is>
          <t>B. 자산가치 (BPS 기반)</t>
        </is>
      </c>
    </row>
    <row r="12">
      <c r="A12" s="5" t="inlineStr">
        <is>
          <t>지표</t>
        </is>
      </c>
      <c r="B12" s="5" t="inlineStr">
        <is>
          <t>값</t>
        </is>
      </c>
      <c r="C12" s="5" t="inlineStr">
        <is>
          <t>판정</t>
        </is>
      </c>
      <c r="D12" s="5" t="inlineStr"/>
      <c r="E12" s="5" t="inlineStr"/>
      <c r="F12" s="5" t="inlineStr"/>
      <c r="G12" s="5" t="inlineStr"/>
      <c r="H12" s="5" t="inlineStr"/>
    </row>
    <row r="13">
      <c r="A13" s="7" t="inlineStr">
        <is>
          <t>BPS</t>
        </is>
      </c>
      <c r="B13" s="50" t="inlineStr">
        <is>
          <t>18,153원</t>
        </is>
      </c>
      <c r="C13" s="6" t="inlineStr"/>
      <c r="D13" s="6" t="inlineStr"/>
      <c r="E13" s="6" t="inlineStr"/>
      <c r="F13" s="6" t="inlineStr"/>
      <c r="G13" s="6" t="inlineStr"/>
      <c r="H13" s="6" t="inlineStr"/>
    </row>
    <row r="14">
      <c r="A14" s="7" t="inlineStr">
        <is>
          <t>현재 PBR</t>
        </is>
      </c>
      <c r="B14" s="50" t="inlineStr">
        <is>
          <t>0.97배</t>
        </is>
      </c>
      <c r="C14" s="6" t="inlineStr">
        <is>
          <t>적정</t>
        </is>
      </c>
      <c r="D14" s="6" t="inlineStr"/>
      <c r="E14" s="6" t="inlineStr"/>
      <c r="F14" s="6" t="inlineStr"/>
      <c r="G14" s="6" t="inlineStr"/>
      <c r="H14" s="6" t="inlineStr"/>
    </row>
    <row r="15">
      <c r="A15" s="7" t="inlineStr">
        <is>
          <t>PBR 0.8배 (하단)</t>
        </is>
      </c>
      <c r="B15" s="50" t="inlineStr">
        <is>
          <t>14,522원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7" t="inlineStr">
        <is>
          <t>PBR 1.0배</t>
        </is>
      </c>
      <c r="B16" s="50" t="inlineStr">
        <is>
          <t>18,153원</t>
        </is>
      </c>
      <c r="C16" s="6" t="inlineStr"/>
      <c r="D16" s="6" t="inlineStr"/>
      <c r="E16" s="6" t="inlineStr"/>
      <c r="F16" s="6" t="inlineStr"/>
      <c r="G16" s="6" t="inlineStr"/>
      <c r="H16" s="6" t="inlineStr"/>
    </row>
    <row r="17">
      <c r="A17" s="7" t="inlineStr">
        <is>
          <t>PBR 1.5배 (상단)</t>
        </is>
      </c>
      <c r="B17" s="50" t="inlineStr">
        <is>
          <t>27,229원</t>
        </is>
      </c>
      <c r="C17" s="6" t="inlineStr"/>
      <c r="D17" s="6" t="inlineStr"/>
      <c r="E17" s="6" t="inlineStr"/>
      <c r="F17" s="6" t="inlineStr"/>
      <c r="G17" s="6" t="inlineStr"/>
      <c r="H17" s="6" t="inlineStr"/>
    </row>
    <row r="18">
      <c r="A18" s="7" t="inlineStr">
        <is>
          <t>순현금/주</t>
        </is>
      </c>
      <c r="B18" s="50" t="inlineStr">
        <is>
          <t>1,142원</t>
        </is>
      </c>
      <c r="C18" s="6" t="inlineStr">
        <is>
          <t>무차입 순현금</t>
        </is>
      </c>
      <c r="D18" s="6" t="inlineStr"/>
      <c r="E18" s="6" t="inlineStr"/>
      <c r="F18" s="6" t="inlineStr"/>
      <c r="G18" s="6" t="inlineStr"/>
      <c r="H18" s="6" t="inlineStr"/>
    </row>
    <row r="20">
      <c r="A20" s="4" t="inlineStr">
        <is>
          <t>C. PER/PBR 밴드 (과거 vs 현재)</t>
        </is>
      </c>
    </row>
    <row r="21">
      <c r="A21" s="5" t="inlineStr">
        <is>
          <t>연도</t>
        </is>
      </c>
      <c r="B21" s="5" t="inlineStr">
        <is>
          <t>EPS(원)</t>
        </is>
      </c>
      <c r="C21" s="5" t="inlineStr">
        <is>
          <t>PER(현재가)</t>
        </is>
      </c>
      <c r="D21" s="5" t="inlineStr">
        <is>
          <t>BPS(원)</t>
        </is>
      </c>
      <c r="E21" s="5" t="inlineStr">
        <is>
          <t>PBR(현재가)</t>
        </is>
      </c>
      <c r="F21" s="5" t="inlineStr">
        <is>
          <t>ROE</t>
        </is>
      </c>
      <c r="G21" s="5" t="inlineStr"/>
      <c r="H21" s="5" t="inlineStr"/>
    </row>
    <row r="22">
      <c r="A22" s="22" t="inlineStr">
        <is>
          <t>2015</t>
        </is>
      </c>
      <c r="B22" s="54" t="inlineStr">
        <is>
          <t>2,178</t>
        </is>
      </c>
      <c r="C22" s="6" t="inlineStr">
        <is>
          <t>8.1배</t>
        </is>
      </c>
      <c r="D22" s="34" t="inlineStr">
        <is>
          <t>14,012</t>
        </is>
      </c>
      <c r="E22" s="6" t="inlineStr">
        <is>
          <t>1.26배</t>
        </is>
      </c>
      <c r="F22" s="24" t="inlineStr">
        <is>
          <t>14.7%</t>
        </is>
      </c>
      <c r="G22" s="6" t="inlineStr"/>
      <c r="H22" s="6" t="inlineStr"/>
    </row>
    <row r="23">
      <c r="A23" s="22" t="inlineStr">
        <is>
          <t>2016</t>
        </is>
      </c>
      <c r="B23" s="54" t="inlineStr">
        <is>
          <t>2,242</t>
        </is>
      </c>
      <c r="C23" s="6" t="inlineStr">
        <is>
          <t>7.9배</t>
        </is>
      </c>
      <c r="D23" s="34" t="inlineStr">
        <is>
          <t>15,203</t>
        </is>
      </c>
      <c r="E23" s="6" t="inlineStr">
        <is>
          <t>1.16배</t>
        </is>
      </c>
      <c r="F23" s="24" t="inlineStr">
        <is>
          <t>14.0%</t>
        </is>
      </c>
      <c r="G23" s="6" t="inlineStr"/>
      <c r="H23" s="6" t="inlineStr"/>
    </row>
    <row r="24">
      <c r="A24" s="22" t="inlineStr">
        <is>
          <t>2017</t>
        </is>
      </c>
      <c r="B24" s="54" t="inlineStr">
        <is>
          <t>2,159</t>
        </is>
      </c>
      <c r="C24" s="6" t="inlineStr">
        <is>
          <t>8.2배</t>
        </is>
      </c>
      <c r="D24" s="34" t="inlineStr">
        <is>
          <t>16,365</t>
        </is>
      </c>
      <c r="E24" s="6" t="inlineStr">
        <is>
          <t>1.08배</t>
        </is>
      </c>
      <c r="F24" s="24" t="inlineStr">
        <is>
          <t>12.5%</t>
        </is>
      </c>
      <c r="G24" s="6" t="inlineStr"/>
      <c r="H24" s="6" t="inlineStr"/>
    </row>
    <row r="25">
      <c r="A25" s="22" t="inlineStr">
        <is>
          <t>2018</t>
        </is>
      </c>
      <c r="B25" s="54" t="inlineStr">
        <is>
          <t>1,467</t>
        </is>
      </c>
      <c r="C25" s="6" t="inlineStr">
        <is>
          <t>12.1배</t>
        </is>
      </c>
      <c r="D25" s="34" t="inlineStr">
        <is>
          <t>16,765</t>
        </is>
      </c>
      <c r="E25" s="6" t="inlineStr">
        <is>
          <t>1.06배</t>
        </is>
      </c>
      <c r="F25" s="6" t="inlineStr">
        <is>
          <t>8.3%</t>
        </is>
      </c>
      <c r="G25" s="6" t="inlineStr"/>
      <c r="H25" s="6" t="inlineStr"/>
    </row>
    <row r="26">
      <c r="A26" s="22" t="inlineStr">
        <is>
          <t>2019</t>
        </is>
      </c>
      <c r="B26" s="54" t="inlineStr">
        <is>
          <t>1,651</t>
        </is>
      </c>
      <c r="C26" s="6" t="inlineStr">
        <is>
          <t>10.7배</t>
        </is>
      </c>
      <c r="D26" s="34" t="inlineStr">
        <is>
          <t>17,377</t>
        </is>
      </c>
      <c r="E26" s="6" t="inlineStr">
        <is>
          <t>1.02배</t>
        </is>
      </c>
      <c r="F26" s="6" t="inlineStr">
        <is>
          <t>9.0%</t>
        </is>
      </c>
      <c r="G26" s="6" t="inlineStr"/>
      <c r="H26" s="6" t="inlineStr"/>
    </row>
    <row r="27">
      <c r="A27" s="22" t="inlineStr">
        <is>
          <t>2022</t>
        </is>
      </c>
      <c r="B27" s="54" t="inlineStr">
        <is>
          <t>570</t>
        </is>
      </c>
      <c r="C27" s="6" t="inlineStr">
        <is>
          <t>31.0배</t>
        </is>
      </c>
      <c r="D27" s="34" t="inlineStr">
        <is>
          <t>15,964</t>
        </is>
      </c>
      <c r="E27" s="6" t="inlineStr">
        <is>
          <t>1.11배</t>
        </is>
      </c>
      <c r="F27" s="6" t="inlineStr">
        <is>
          <t>3.4%</t>
        </is>
      </c>
      <c r="G27" s="6" t="inlineStr"/>
      <c r="H27" s="6" t="inlineStr"/>
    </row>
    <row r="28">
      <c r="A28" s="22" t="inlineStr">
        <is>
          <t>2023</t>
        </is>
      </c>
      <c r="B28" s="54" t="inlineStr">
        <is>
          <t>1,681</t>
        </is>
      </c>
      <c r="C28" s="6" t="inlineStr">
        <is>
          <t>10.5배</t>
        </is>
      </c>
      <c r="D28" s="34" t="inlineStr">
        <is>
          <t>17,191</t>
        </is>
      </c>
      <c r="E28" s="6" t="inlineStr">
        <is>
          <t>1.03배</t>
        </is>
      </c>
      <c r="F28" s="6" t="inlineStr">
        <is>
          <t>9.3%</t>
        </is>
      </c>
      <c r="G28" s="6" t="inlineStr"/>
      <c r="H28" s="6" t="inlineStr"/>
    </row>
    <row r="29">
      <c r="A29" s="22" t="inlineStr">
        <is>
          <t>2024</t>
        </is>
      </c>
      <c r="B29" s="54" t="inlineStr">
        <is>
          <t>2,257</t>
        </is>
      </c>
      <c r="C29" s="6" t="inlineStr">
        <is>
          <t>7.8배</t>
        </is>
      </c>
      <c r="D29" s="34" t="inlineStr">
        <is>
          <t>18,153</t>
        </is>
      </c>
      <c r="E29" s="6" t="inlineStr">
        <is>
          <t>0.97배</t>
        </is>
      </c>
      <c r="F29" s="24" t="inlineStr">
        <is>
          <t>11.8%</t>
        </is>
      </c>
      <c r="G29" s="6" t="inlineStr"/>
      <c r="H29" s="6" t="inlineStr"/>
    </row>
    <row r="31">
      <c r="A31" s="4" t="inlineStr">
        <is>
          <t>D. 시나리오별 적정주가</t>
        </is>
      </c>
    </row>
    <row r="32">
      <c r="A32" s="5" t="inlineStr">
        <is>
          <t>시나리오</t>
        </is>
      </c>
      <c r="B32" s="5" t="inlineStr">
        <is>
          <t>방법론</t>
        </is>
      </c>
      <c r="C32" s="5" t="inlineStr">
        <is>
          <t>적정가</t>
        </is>
      </c>
      <c r="D32" s="5" t="inlineStr">
        <is>
          <t>현재가 대비</t>
        </is>
      </c>
      <c r="E32" s="5" t="inlineStr">
        <is>
          <t>전제</t>
        </is>
      </c>
      <c r="F32" s="5" t="inlineStr"/>
      <c r="G32" s="5" t="inlineStr"/>
      <c r="H32" s="5" t="inlineStr"/>
    </row>
    <row r="33">
      <c r="A33" s="55" t="inlineStr">
        <is>
          <t>보수적</t>
        </is>
      </c>
      <c r="B33" s="18" t="inlineStr">
        <is>
          <t>PER 10배 × 정상EPS</t>
        </is>
      </c>
      <c r="C33" s="50" t="inlineStr">
        <is>
          <t>19,180원</t>
        </is>
      </c>
      <c r="D33" s="19" t="inlineStr">
        <is>
          <t>+8.4%</t>
        </is>
      </c>
      <c r="E33" s="25" t="inlineStr">
        <is>
          <t>EPS 1,918원 × 10배</t>
        </is>
      </c>
      <c r="F33" s="6" t="inlineStr"/>
      <c r="G33" s="6" t="inlineStr"/>
      <c r="H33" s="6" t="inlineStr"/>
    </row>
    <row r="34">
      <c r="A34" s="55" t="inlineStr">
        <is>
          <t>보수적</t>
        </is>
      </c>
      <c r="B34" s="18" t="inlineStr">
        <is>
          <t>BPS × 0.8배</t>
        </is>
      </c>
      <c r="C34" s="50" t="inlineStr">
        <is>
          <t>14,522원</t>
        </is>
      </c>
      <c r="D34" s="20" t="inlineStr">
        <is>
          <t>-17.9%</t>
        </is>
      </c>
      <c r="E34" s="25" t="inlineStr">
        <is>
          <t>PBR 하단</t>
        </is>
      </c>
      <c r="F34" s="6" t="inlineStr"/>
      <c r="G34" s="6" t="inlineStr"/>
      <c r="H34" s="6" t="inlineStr"/>
    </row>
    <row r="35">
      <c r="A35" s="21" t="inlineStr">
        <is>
          <t>기본</t>
        </is>
      </c>
      <c r="B35" s="18" t="inlineStr">
        <is>
          <t>PER 12배 × 확정EPS</t>
        </is>
      </c>
      <c r="C35" s="50" t="inlineStr">
        <is>
          <t>27,084원</t>
        </is>
      </c>
      <c r="D35" s="19" t="inlineStr">
        <is>
          <t>+53.1%</t>
        </is>
      </c>
      <c r="E35" s="25" t="inlineStr">
        <is>
          <t>EPS 2,257원 × 12배</t>
        </is>
      </c>
      <c r="F35" s="6" t="inlineStr"/>
      <c r="G35" s="6" t="inlineStr"/>
      <c r="H35" s="6" t="inlineStr"/>
    </row>
    <row r="36">
      <c r="A36" s="21" t="inlineStr">
        <is>
          <t>기본</t>
        </is>
      </c>
      <c r="B36" s="18" t="inlineStr">
        <is>
          <t>배당수익률 5% 기준</t>
        </is>
      </c>
      <c r="C36" s="50" t="inlineStr">
        <is>
          <t>23,400원</t>
        </is>
      </c>
      <c r="D36" s="19" t="inlineStr">
        <is>
          <t>+32.3%</t>
        </is>
      </c>
      <c r="E36" s="25" t="inlineStr">
        <is>
          <t>DPS 1,170원 / 5%</t>
        </is>
      </c>
      <c r="F36" s="6" t="inlineStr"/>
      <c r="G36" s="6" t="inlineStr"/>
      <c r="H36" s="6" t="inlineStr"/>
    </row>
    <row r="37">
      <c r="A37" s="36" t="inlineStr">
        <is>
          <t>낙관적</t>
        </is>
      </c>
      <c r="B37" s="18" t="inlineStr">
        <is>
          <t>PER 15배 × 확정EPS</t>
        </is>
      </c>
      <c r="C37" s="50" t="inlineStr">
        <is>
          <t>33,855원</t>
        </is>
      </c>
      <c r="D37" s="19" t="inlineStr">
        <is>
          <t>+91.4%</t>
        </is>
      </c>
      <c r="E37" s="25" t="inlineStr">
        <is>
          <t>EPS 2,257원 × 15배</t>
        </is>
      </c>
      <c r="F37" s="6" t="inlineStr"/>
      <c r="G37" s="6" t="inlineStr"/>
      <c r="H37" s="6" t="inlineStr"/>
    </row>
    <row r="38">
      <c r="A38" s="36" t="inlineStr">
        <is>
          <t>낙관적</t>
        </is>
      </c>
      <c r="B38" s="18" t="inlineStr">
        <is>
          <t>OE × 15배</t>
        </is>
      </c>
      <c r="C38" s="50" t="inlineStr">
        <is>
          <t>29,999원</t>
        </is>
      </c>
      <c r="D38" s="19" t="inlineStr">
        <is>
          <t>+69.6%</t>
        </is>
      </c>
      <c r="E38" s="25" t="inlineStr">
        <is>
          <t>Owner Earnings 기반</t>
        </is>
      </c>
      <c r="F38" s="6" t="inlineStr"/>
      <c r="G38" s="6" t="inlineStr"/>
      <c r="H38" s="6" t="inlineStr"/>
    </row>
    <row r="40">
      <c r="A40" s="4" t="inlineStr">
        <is>
          <t>E. 안전마진 테스트</t>
        </is>
      </c>
    </row>
    <row r="41">
      <c r="A41" s="7" t="inlineStr">
        <is>
          <t>보수적 내재가치</t>
        </is>
      </c>
      <c r="B41" s="50" t="inlineStr">
        <is>
          <t>16,851원</t>
        </is>
      </c>
      <c r="C41" s="20" t="inlineStr">
        <is>
          <t>안전마진 -5.0%</t>
        </is>
      </c>
      <c r="D41" s="20" t="inlineStr">
        <is>
          <t>하방 리스크 확인</t>
        </is>
      </c>
      <c r="E41" s="25" t="inlineStr">
        <is>
          <t>현재가 17,690원</t>
        </is>
      </c>
      <c r="F41" s="6" t="inlineStr"/>
      <c r="G41" s="6" t="inlineStr"/>
      <c r="H41" s="6" t="inlineStr"/>
    </row>
    <row r="42">
      <c r="A42" s="7" t="inlineStr">
        <is>
          <t>기본 내재가치</t>
        </is>
      </c>
      <c r="B42" s="50" t="inlineStr">
        <is>
          <t>25,242원</t>
        </is>
      </c>
      <c r="C42" s="19" t="inlineStr">
        <is>
          <t>안전마진 +29.9%</t>
        </is>
      </c>
      <c r="D42" s="19" t="inlineStr">
        <is>
          <t>상승여력</t>
        </is>
      </c>
      <c r="E42" s="25" t="inlineStr">
        <is>
          <t>현재가 17,690원</t>
        </is>
      </c>
      <c r="F42" s="6" t="inlineStr"/>
      <c r="G42" s="6" t="inlineStr"/>
      <c r="H42" s="6" t="inlineStr"/>
    </row>
    <row r="43">
      <c r="A43" s="7" t="inlineStr">
        <is>
          <t>낙관적 내재가치</t>
        </is>
      </c>
      <c r="B43" s="50" t="inlineStr">
        <is>
          <t>31,927원</t>
        </is>
      </c>
      <c r="C43" s="19" t="inlineStr">
        <is>
          <t>안전마진 +44.6%</t>
        </is>
      </c>
      <c r="D43" s="19" t="inlineStr">
        <is>
          <t>업사이드</t>
        </is>
      </c>
      <c r="E43" s="25" t="inlineStr">
        <is>
          <t>현재가 17,690원</t>
        </is>
      </c>
      <c r="F43" s="6" t="inlineStr"/>
      <c r="G43" s="6" t="inlineStr"/>
      <c r="H43" s="6" t="inlineStr"/>
    </row>
    <row r="45">
      <c r="A45" s="53" t="inlineStr">
        <is>
          <t>→ 기본 시나리오 기준 상승 여력 존재. 카지노업 PER 10~15배 밴드에서 현재 저평가 영역. 안전마진: 기본 내재가치(25,242원) 대비 +29.9%</t>
        </is>
      </c>
    </row>
  </sheetData>
  <mergeCells count="8">
    <mergeCell ref="A9:H9"/>
    <mergeCell ref="A45:H45"/>
    <mergeCell ref="A20:H20"/>
    <mergeCell ref="A2:H2"/>
    <mergeCell ref="A11:H11"/>
    <mergeCell ref="A1:H1"/>
    <mergeCell ref="A31:H31"/>
    <mergeCell ref="A40:H40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tabColor rgb="001ABC9C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56" t="inlineStr">
        <is>
          <t>최종 투자 판정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6">
      <c r="A6" s="4" t="inlineStr">
        <is>
          <t>A. 최종 판정</t>
        </is>
      </c>
    </row>
    <row r="7">
      <c r="A7" s="57" t="inlineStr">
        <is>
          <t>BUY (매수)</t>
        </is>
      </c>
      <c r="D7" s="58" t="inlineStr">
        <is>
          <t>Four Filters 종합 78/100 (등급 B)
PER 10.4배(T4Q) | PBR 0.97배 | 배당수익률 6.6% | FCF Yield 10.0%</t>
        </is>
      </c>
    </row>
    <row r="8"/>
    <row r="10">
      <c r="A10" s="4" t="inlineStr">
        <is>
          <t>B. 판정 근거</t>
        </is>
      </c>
    </row>
    <row r="11">
      <c r="A11" s="44" t="inlineStr">
        <is>
          <t>매수 근거 1</t>
        </is>
      </c>
      <c r="B11" s="27" t="inlineStr">
        <is>
          <t>규제 독점 해자: 한국 유일 내국인 카지노 면허 — 신규 진입 불가, 가장 강력한 해자 유형</t>
        </is>
      </c>
    </row>
    <row r="12">
      <c r="A12" s="44" t="inlineStr">
        <is>
          <t>매수 근거 2</t>
        </is>
      </c>
      <c r="B12" s="27" t="inlineStr">
        <is>
          <t>무차입 순현금 경영 + 고배당: 순현금 2,445억, 배당성향 51%, 배당수익률 6.6%</t>
        </is>
      </c>
    </row>
    <row r="13">
      <c r="A13" s="44" t="inlineStr">
        <is>
          <t>매수 근거 3</t>
        </is>
      </c>
      <c r="B13" s="27" t="inlineStr">
        <is>
          <t>밸류에이션 매력: PER 10.4배(T4Q), 카지노업 기준 10~15배 대비 저평가</t>
        </is>
      </c>
    </row>
    <row r="14">
      <c r="A14" s="44" t="inlineStr">
        <is>
          <t>매수 근거 4</t>
        </is>
      </c>
      <c r="B14" s="27" t="inlineStr">
        <is>
          <t>성장 투자: 제2카지노영업장 1,796억 투자 → 중장기 매출 성장 동력 확보</t>
        </is>
      </c>
    </row>
    <row r="15">
      <c r="A15" s="59" t="inlineStr">
        <is>
          <t>주의 사항 1</t>
        </is>
      </c>
      <c r="B15" s="27" t="inlineStr">
        <is>
          <t>정부 규제 리스크: 영업시간/입장료/횟수 제한 변경 시 매출 직접 타격</t>
        </is>
      </c>
    </row>
    <row r="16">
      <c r="A16" s="59" t="inlineStr">
        <is>
          <t>주의 사항 2</t>
        </is>
      </c>
      <c r="B16" s="27" t="inlineStr">
        <is>
          <t>2025년 실적 둔화: 영업이익 -17.7% YoY, 순이익 -30.7% YoY (잠정)</t>
        </is>
      </c>
    </row>
    <row r="17">
      <c r="A17" s="59" t="inlineStr">
        <is>
          <t>주의 사항 3</t>
        </is>
      </c>
      <c r="B17" s="27" t="inlineStr">
        <is>
          <t>온라인 도박 합법화 또는 내국인 카지노 추가 면허 시 독점 해자 훼손</t>
        </is>
      </c>
    </row>
    <row r="19">
      <c r="A19" s="4" t="inlineStr">
        <is>
          <t>C. 구루 관점 SWOT</t>
        </is>
      </c>
    </row>
    <row r="20">
      <c r="A20" s="13" t="inlineStr">
        <is>
          <t>강점 (Strengths)</t>
        </is>
      </c>
      <c r="E20" s="14" t="inlineStr">
        <is>
          <t>약점 (Weaknesses)</t>
        </is>
      </c>
    </row>
    <row r="21">
      <c r="A21" s="15" t="inlineStr">
        <is>
          <t xml:space="preserve">  한국 유일 내국인 카지노 (규제 독점)</t>
        </is>
      </c>
      <c r="E21" s="16" t="inlineStr">
        <is>
          <t xml:space="preserve">  전문경영인 체제 (정부 영향, 오너십 부재)</t>
        </is>
      </c>
    </row>
    <row r="22">
      <c r="A22" s="15" t="inlineStr">
        <is>
          <t xml:space="preserve">  무차입경영 + 순현금 2,445억</t>
        </is>
      </c>
      <c r="E22" s="16" t="inlineStr">
        <is>
          <t xml:space="preserve">  정선 단일 입지 (지리적 집중 리스크)</t>
        </is>
      </c>
    </row>
    <row r="23">
      <c r="A23" s="15" t="inlineStr">
        <is>
          <t xml:space="preserve">  GPM 50%+, OPM 25~35% 구조적 고마진</t>
        </is>
      </c>
      <c r="E23" s="16" t="inlineStr">
        <is>
          <t xml:space="preserve">  사행산업 규제 의존적 사업구조</t>
        </is>
      </c>
    </row>
    <row r="24">
      <c r="A24" s="15" t="inlineStr">
        <is>
          <t xml:space="preserve">  고배당 전통 (배당성향 45~60%)</t>
        </is>
      </c>
      <c r="E24" s="16" t="inlineStr">
        <is>
          <t xml:space="preserve">  COVID 같은 외부충격에 극도로 취약</t>
        </is>
      </c>
    </row>
    <row r="26">
      <c r="A26" s="60" t="inlineStr">
        <is>
          <t>기회 (Opportunities)</t>
        </is>
      </c>
      <c r="E26" s="61" t="inlineStr">
        <is>
          <t>위협 (Threats)</t>
        </is>
      </c>
    </row>
    <row r="27">
      <c r="A27" s="30" t="inlineStr">
        <is>
          <t xml:space="preserve">  제2카지노영업장 개장 → 매출 성장 동력</t>
        </is>
      </c>
      <c r="E27" s="62" t="inlineStr">
        <is>
          <t xml:space="preserve">  온라인 도박 합법화 → 독점 해자 약화</t>
        </is>
      </c>
    </row>
    <row r="28">
      <c r="A28" s="30" t="inlineStr">
        <is>
          <t xml:space="preserve">  관광산업 정상화 → 외국인 관광객 유입</t>
        </is>
      </c>
      <c r="E28" s="62" t="inlineStr">
        <is>
          <t xml:space="preserve">  내국인 카지노 추가 면허 발급</t>
        </is>
      </c>
    </row>
    <row r="29">
      <c r="A29" s="30" t="inlineStr">
        <is>
          <t xml:space="preserve">  밸류업 프로그램 → 주주환원 강화 가속</t>
        </is>
      </c>
      <c r="E29" s="62" t="inlineStr">
        <is>
          <t xml:space="preserve">  사행산업 규제 강화 (영업시간 축소 등)</t>
        </is>
      </c>
    </row>
    <row r="30">
      <c r="A30" s="30" t="inlineStr">
        <is>
          <t xml:space="preserve">  배당수익률 매력 → 가치주 재평가</t>
        </is>
      </c>
      <c r="E30" s="62" t="inlineStr">
        <is>
          <t xml:space="preserve">  경기침체 → 여가소비 감소 → 입장객 감소</t>
        </is>
      </c>
    </row>
    <row r="32">
      <c r="A32" s="4" t="inlineStr">
        <is>
          <t>D. 핵심 모니터링 지표 (5개)</t>
        </is>
      </c>
    </row>
    <row r="33">
      <c r="A33" s="5" t="inlineStr">
        <is>
          <t>#</t>
        </is>
      </c>
      <c r="B33" s="5" t="inlineStr">
        <is>
          <t>지표</t>
        </is>
      </c>
      <c r="C33" s="5" t="inlineStr">
        <is>
          <t>세부 내용</t>
        </is>
      </c>
      <c r="D33" s="5" t="inlineStr">
        <is>
          <t>확인 시기</t>
        </is>
      </c>
      <c r="E33" s="5" t="inlineStr">
        <is>
          <t>구루 관점</t>
        </is>
      </c>
      <c r="F33" s="5" t="inlineStr"/>
      <c r="G33" s="5" t="inlineStr"/>
      <c r="H33" s="5" t="inlineStr"/>
    </row>
    <row r="34" ht="40" customHeight="1">
      <c r="A34" s="63" t="inlineStr">
        <is>
          <t>1</t>
        </is>
      </c>
      <c r="B34" s="7" t="inlineStr">
        <is>
          <t>월별 입장객 수</t>
        </is>
      </c>
      <c r="C34" s="18" t="inlineStr">
        <is>
          <t>입장객 증감이 매출과 직결. 전년동기 대비 추이 확인</t>
        </is>
      </c>
      <c r="D34" s="64" t="inlineStr">
        <is>
          <t>매월</t>
        </is>
      </c>
      <c r="E34" s="25" t="inlineStr">
        <is>
          <t>해자 가동률 확인</t>
        </is>
      </c>
      <c r="F34" s="6" t="inlineStr"/>
      <c r="G34" s="6" t="inlineStr"/>
      <c r="H34" s="6" t="inlineStr"/>
    </row>
    <row r="35" ht="40" customHeight="1">
      <c r="A35" s="63" t="inlineStr">
        <is>
          <t>2</t>
        </is>
      </c>
      <c r="B35" s="7" t="inlineStr">
        <is>
          <t>영업이익률 추이</t>
        </is>
      </c>
      <c r="C35" s="18" t="inlineStr">
        <is>
          <t>OPM 15% 미만=경고, 20~25%=양호, 30%+=호황</t>
        </is>
      </c>
      <c r="D35" s="64" t="inlineStr">
        <is>
          <t>분기 실적</t>
        </is>
      </c>
      <c r="E35" s="25" t="inlineStr">
        <is>
          <t>수익성 품질</t>
        </is>
      </c>
      <c r="F35" s="6" t="inlineStr"/>
      <c r="G35" s="6" t="inlineStr"/>
      <c r="H35" s="6" t="inlineStr"/>
    </row>
    <row r="36" ht="40" customHeight="1">
      <c r="A36" s="63" t="inlineStr">
        <is>
          <t>3</t>
        </is>
      </c>
      <c r="B36" s="7" t="inlineStr">
        <is>
          <t>배당 정책 변화</t>
        </is>
      </c>
      <c r="C36" s="18" t="inlineStr">
        <is>
          <t>DPS 인상/유지/삭감 여부, 배당성향 변화</t>
        </is>
      </c>
      <c r="D36" s="64" t="inlineStr">
        <is>
          <t>3월 주총</t>
        </is>
      </c>
      <c r="E36" s="25" t="inlineStr">
        <is>
          <t>경영진 신뢰</t>
        </is>
      </c>
      <c r="F36" s="6" t="inlineStr"/>
      <c r="G36" s="6" t="inlineStr"/>
      <c r="H36" s="6" t="inlineStr"/>
    </row>
    <row r="37" ht="40" customHeight="1">
      <c r="A37" s="63" t="inlineStr">
        <is>
          <t>4</t>
        </is>
      </c>
      <c r="B37" s="7" t="inlineStr">
        <is>
          <t>규제 환경 변화</t>
        </is>
      </c>
      <c r="C37" s="18" t="inlineStr">
        <is>
          <t>영업시간, 입장료, 입장횟수 제한 변경 여부</t>
        </is>
      </c>
      <c r="D37" s="64" t="inlineStr">
        <is>
          <t>수시</t>
        </is>
      </c>
      <c r="E37" s="25" t="inlineStr">
        <is>
          <t>해자 위협</t>
        </is>
      </c>
      <c r="F37" s="6" t="inlineStr"/>
      <c r="G37" s="6" t="inlineStr"/>
      <c r="H37" s="6" t="inlineStr"/>
    </row>
    <row r="38" ht="40" customHeight="1">
      <c r="A38" s="63" t="inlineStr">
        <is>
          <t>5</t>
        </is>
      </c>
      <c r="B38" s="7" t="inlineStr">
        <is>
          <t>제2카지노 진행상황</t>
        </is>
      </c>
      <c r="C38" s="18" t="inlineStr">
        <is>
          <t>공사 진척률, 개장 일정, 예상 매출 기여도</t>
        </is>
      </c>
      <c r="D38" s="64" t="inlineStr">
        <is>
          <t>반기</t>
        </is>
      </c>
      <c r="E38" s="25" t="inlineStr">
        <is>
          <t>성장 동력</t>
        </is>
      </c>
      <c r="F38" s="6" t="inlineStr"/>
      <c r="G38" s="6" t="inlineStr"/>
      <c r="H38" s="6" t="inlineStr"/>
    </row>
    <row r="40">
      <c r="A40" s="4" t="inlineStr">
        <is>
          <t>E. 매도 트리거 조건</t>
        </is>
      </c>
    </row>
    <row r="41">
      <c r="A41" s="16" t="inlineStr">
        <is>
          <t xml:space="preserve">  내국인 카지노 추가 면허 발급 확정</t>
        </is>
      </c>
      <c r="F41" s="28" t="inlineStr">
        <is>
          <t>해자 붕괴 → 즉시 매도</t>
        </is>
      </c>
    </row>
    <row r="42">
      <c r="A42" s="16" t="inlineStr">
        <is>
          <t xml:space="preserve">  온라인 도박 합법화 법안 통과</t>
        </is>
      </c>
      <c r="F42" s="28" t="inlineStr">
        <is>
          <t>독점 해자 약화 → 단계적 매도</t>
        </is>
      </c>
    </row>
    <row r="43">
      <c r="A43" s="16" t="inlineStr">
        <is>
          <t xml:space="preserve">  영업이익률 2년 연속 15% 미만</t>
        </is>
      </c>
      <c r="F43" s="28" t="inlineStr">
        <is>
          <t>구조적 수익성 훼손</t>
        </is>
      </c>
    </row>
    <row r="44">
      <c r="A44" s="16" t="inlineStr">
        <is>
          <t xml:space="preserve">  배당 2년 연속 삭감 또는 무배당</t>
        </is>
      </c>
      <c r="F44" s="28" t="inlineStr">
        <is>
          <t>주주환원 정책 변화</t>
        </is>
      </c>
    </row>
    <row r="45">
      <c r="A45" s="16" t="inlineStr">
        <is>
          <t xml:space="preserve">  PER 18배+ (카지노업 과열 기준)</t>
        </is>
      </c>
      <c r="F45" s="28" t="inlineStr">
        <is>
          <t>안전마진 소멸</t>
        </is>
      </c>
    </row>
    <row r="47">
      <c r="A47" s="4" t="inlineStr">
        <is>
          <t>F. 리스크 시나리오 (최악의 경우)</t>
        </is>
      </c>
    </row>
    <row r="48">
      <c r="A48" s="65" t="inlineStr">
        <is>
          <t>최악 시나리오: 내국인 카지노 추가 면허 2개 발급 + 온라인 도박 부분 합법화
→ 입장객 40% 감소 + 1인당 GGR 20% 하락
→ 매출 6,000억, 영업이익 600억(OPM 10%), 순이익 450억, EPS ~2,100원
→ PER 8배 적용 시 주가 ~16,800원 (현재가 대비 -5%). 이 시나리오 확률: 5% 미만</t>
        </is>
      </c>
    </row>
    <row r="49"/>
    <row r="50"/>
    <row r="51"/>
  </sheetData>
  <mergeCells count="47">
    <mergeCell ref="A23:D23"/>
    <mergeCell ref="E26:H26"/>
    <mergeCell ref="D7:H8"/>
    <mergeCell ref="F42:H42"/>
    <mergeCell ref="A22:D22"/>
    <mergeCell ref="F45:H45"/>
    <mergeCell ref="F41:H41"/>
    <mergeCell ref="A20:D20"/>
    <mergeCell ref="A29:D29"/>
    <mergeCell ref="A45:E45"/>
    <mergeCell ref="B15:H15"/>
    <mergeCell ref="A28:D28"/>
    <mergeCell ref="A6:H6"/>
    <mergeCell ref="E22:H22"/>
    <mergeCell ref="A30:D30"/>
    <mergeCell ref="A41:E41"/>
    <mergeCell ref="E21:H21"/>
    <mergeCell ref="F43:H43"/>
    <mergeCell ref="B16:H16"/>
    <mergeCell ref="A24:D24"/>
    <mergeCell ref="E24:H24"/>
    <mergeCell ref="A7:C8"/>
    <mergeCell ref="E23:H23"/>
    <mergeCell ref="A2:H2"/>
    <mergeCell ref="A42:E42"/>
    <mergeCell ref="B12:H12"/>
    <mergeCell ref="E20:H20"/>
    <mergeCell ref="E29:H29"/>
    <mergeCell ref="A47:H47"/>
    <mergeCell ref="B11:H11"/>
    <mergeCell ref="F44:H44"/>
    <mergeCell ref="A32:H32"/>
    <mergeCell ref="E28:H28"/>
    <mergeCell ref="B14:H14"/>
    <mergeCell ref="A48:H51"/>
    <mergeCell ref="A27:D27"/>
    <mergeCell ref="B17:H17"/>
    <mergeCell ref="A43:E43"/>
    <mergeCell ref="B13:H13"/>
    <mergeCell ref="A26:D26"/>
    <mergeCell ref="A21:D21"/>
    <mergeCell ref="A10:H10"/>
    <mergeCell ref="E30:H30"/>
    <mergeCell ref="A19:H19"/>
    <mergeCell ref="A44:E44"/>
    <mergeCell ref="E27:H27"/>
    <mergeCell ref="A40:H40"/>
  </mergeCells>
  <printOptions horizontalCentered="1"/>
  <pageMargins left="0.25" right="0.25" top="0.75" bottom="0.75" header="0.3" footer="0.3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2026-02-07T08:47:49Z</dcterms:created>
  <dcterms:modified xmlns:dcterms="http://purl.org/dc/terms/" xmlns:xsi="http://www.w3.org/2001/XMLSchema-instance" xsi:type="dcterms:W3CDTF">2026-02-07T08:47:49Z</dcterms:modified>
</cp:coreProperties>
</file>