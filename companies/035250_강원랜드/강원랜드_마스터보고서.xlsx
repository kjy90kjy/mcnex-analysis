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i_\Documents\엠씨넥스\companies\035250_강원랜드\"/>
    </mc:Choice>
  </mc:AlternateContent>
  <xr:revisionPtr revIDLastSave="0" documentId="13_ncr:1_{9142EC4D-0474-4FA7-914C-FC0797E298CB}" xr6:coauthVersionLast="47" xr6:coauthVersionMax="47" xr10:uidLastSave="{00000000-0000-0000-0000-000000000000}"/>
  <bookViews>
    <workbookView xWindow="-120" yWindow="-120" windowWidth="29040" windowHeight="15720" firstSheet="12" activeTab="21" xr2:uid="{00000000-000D-0000-FFFF-FFFF00000000}"/>
  </bookViews>
  <sheets>
    <sheet name="표지" sheetId="1" r:id="rId1"/>
    <sheet name="핵심실적" sheetId="2" r:id="rId2"/>
    <sheet name="2025실적" sheetId="3" r:id="rId3"/>
    <sheet name="사업구조" sheetId="4" r:id="rId4"/>
    <sheet name="주주환원" sheetId="5" r:id="rId5"/>
    <sheet name="규제_면허" sheetId="6" r:id="rId6"/>
    <sheet name="밸류에이션" sheetId="7" r:id="rId7"/>
    <sheet name="PER분석" sheetId="8" r:id="rId8"/>
    <sheet name="PBR_ROE" sheetId="9" r:id="rId9"/>
    <sheet name="EV_EBITDA" sheetId="10" r:id="rId10"/>
    <sheet name="시나리오" sheetId="11" r:id="rId11"/>
    <sheet name="모니터링" sheetId="12" r:id="rId12"/>
    <sheet name="Four Filters" sheetId="13" r:id="rId13"/>
    <sheet name="경제적_해자" sheetId="14" r:id="rId14"/>
    <sheet name="경영진_평가" sheetId="15" r:id="rId15"/>
    <sheet name="자본배분" sheetId="16" r:id="rId16"/>
    <sheet name="수익성_품질" sheetId="17" r:id="rId17"/>
    <sheet name="내재가치_안전마진" sheetId="18" r:id="rId18"/>
    <sheet name="투자판정" sheetId="19" r:id="rId19"/>
    <sheet name="요약" sheetId="20" r:id="rId20"/>
    <sheet name="비용구조" sheetId="21" r:id="rId21"/>
    <sheet name="일시적요인" sheetId="22" r:id="rId22"/>
    <sheet name="퇴직급여" sheetId="23" r:id="rId23"/>
    <sheet name="인건비구조" sheetId="24" r:id="rId24"/>
    <sheet name="매출천장" sheetId="25" r:id="rId25"/>
    <sheet name="종합판단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7" l="1"/>
  <c r="F7" i="17"/>
  <c r="F6" i="17"/>
  <c r="F5" i="17"/>
  <c r="F4" i="17"/>
  <c r="G12" i="3"/>
  <c r="F12" i="3"/>
  <c r="G11" i="3"/>
  <c r="F11" i="3"/>
  <c r="G10" i="3"/>
  <c r="F10" i="3"/>
  <c r="G9" i="3"/>
  <c r="F9" i="3"/>
</calcChain>
</file>

<file path=xl/sharedStrings.xml><?xml version="1.0" encoding="utf-8"?>
<sst xmlns="http://schemas.openxmlformats.org/spreadsheetml/2006/main" count="2086" uniqueCount="1509">
  <si>
    <t>강원랜드(KANGWON LAND)</t>
  </si>
  <si>
    <t>심층 기업분석 + 밸류에이션 종합보고서</t>
  </si>
  <si>
    <t>035250 (유가증권)  |  카지노/리조트업  |  국내 유일 내국인 카지노</t>
  </si>
  <si>
    <t>현재주가</t>
  </si>
  <si>
    <t>17,690원 (2026.02.06 기준)</t>
  </si>
  <si>
    <t>시가총액</t>
  </si>
  <si>
    <t>37,846억 (유통시총 35,452억)</t>
  </si>
  <si>
    <t>대표이사 / 설립일</t>
  </si>
  <si>
    <t>문태곤 / 1998.06.29</t>
  </si>
  <si>
    <t>본사</t>
  </si>
  <si>
    <t>강원도 정선군 사북읍 하이원길 265</t>
  </si>
  <si>
    <t>최대주주</t>
  </si>
  <si>
    <t>한국광해광업공단 (36.27%)</t>
  </si>
  <si>
    <t>사업영역</t>
  </si>
  <si>
    <t>카지노(~80%) + 호텔(~10%) + 리조트(스키/골프/콘도, ~10%)</t>
  </si>
  <si>
    <t>분석기준일</t>
  </si>
  <si>
    <t>2026년 2월 6일 | 데이터: OpenDART 전수분석</t>
  </si>
  <si>
    <t>핵심 밸류에이션 (현재가 17,690원 기준):
  PER 7.8배(2024) / 12.0배(2025E) -- 카지노업 PER 10~15배 대비 저평가
  PBR 0.97배 | EV/EBITDA 9.7배 | 배당수익률 6.6% (고배당주)
  무차입경영 (차입금 0원) | Net Cash 2,445억 | ROE 12.1%</t>
  </si>
  <si>
    <t>시나리오별 목표: Bull ~33,800원(+91%) | Base ~26,600원(+50%) | Bear ~11,800원(-33%)</t>
  </si>
  <si>
    <t>10년 연결 재무실적 (단위: 억원)</t>
  </si>
  <si>
    <t>연도</t>
  </si>
  <si>
    <t>매출액</t>
  </si>
  <si>
    <t>영업이익</t>
  </si>
  <si>
    <t>순이익</t>
  </si>
  <si>
    <t>EPS(원)</t>
  </si>
  <si>
    <t>DPS(원)</t>
  </si>
  <si>
    <t>배당성향</t>
  </si>
  <si>
    <t>비고</t>
  </si>
  <si>
    <t>부채비율</t>
  </si>
  <si>
    <t>영업이익률</t>
  </si>
  <si>
    <t>ROE</t>
  </si>
  <si>
    <t>45.0%</t>
  </si>
  <si>
    <t>44.2%</t>
  </si>
  <si>
    <t>45.9%</t>
  </si>
  <si>
    <t>61.3%</t>
  </si>
  <si>
    <t>54.5%</t>
  </si>
  <si>
    <t>-</t>
  </si>
  <si>
    <t>COVID 셧다운</t>
  </si>
  <si>
    <t>COVID 부분회복</t>
  </si>
  <si>
    <t>61.4%</t>
  </si>
  <si>
    <t>위드코로나</t>
  </si>
  <si>
    <t>55.3%</t>
  </si>
  <si>
    <t>51.8%</t>
  </si>
  <si>
    <t>역대최고 순이익</t>
  </si>
  <si>
    <t>* 2020~2021년 COVID-19로 카지노 영업 중단/제한. 비정상 기간으로 밸류에이션 참고 시 제외 권장.</t>
  </si>
  <si>
    <t>전년대비 성장률 (YoY)</t>
  </si>
  <si>
    <t>매출 YoY</t>
  </si>
  <si>
    <t>영업이익 YoY</t>
  </si>
  <si>
    <t>순이익 YoY</t>
  </si>
  <si>
    <t>2025년 분기별 잠정실적 (단위: 백만원)</t>
  </si>
  <si>
    <t>분기</t>
  </si>
  <si>
    <t>24Q1</t>
  </si>
  <si>
    <t>24Q2</t>
  </si>
  <si>
    <t>24Q3</t>
  </si>
  <si>
    <t>24Q4</t>
  </si>
  <si>
    <t>24합계</t>
  </si>
  <si>
    <t>25Q1</t>
  </si>
  <si>
    <t>25Q2</t>
  </si>
  <si>
    <t>25Q3</t>
  </si>
  <si>
    <t>25Q4</t>
  </si>
  <si>
    <t>25합계</t>
  </si>
  <si>
    <t>핵심 포인트</t>
  </si>
  <si>
    <t xml:space="preserve">  2025 연간 매출 1.477조 (YoY +3.5%) -- 매출은 소폭 성장</t>
  </si>
  <si>
    <t xml:space="preserve">  2025 연간 영업이익 2,352억 (YoY -17.7%) -- 수익성 하락이 핵심 이슈</t>
  </si>
  <si>
    <t xml:space="preserve">  4Q25 영업이익 297억으로 급락 (OPM 8.1%) -- 계절적 요인 or 비용 증가 확인 필요</t>
  </si>
  <si>
    <t xml:space="preserve">  3Q25 순이익 1,131억으로 양호 -- 영업외수익(금융수익 등) 기여 추정</t>
  </si>
  <si>
    <t xml:space="preserve">  COVID 이전 수준(매출 1.5~1.7조) 대비 아직 미회복. 구조적 성장 한계 vs 규제 완화 기대</t>
  </si>
  <si>
    <t>사업부문별 매출 구조 (연결, 단위: 억원)</t>
  </si>
  <si>
    <t>A. 매출 구성 (2024 기준 추정)</t>
  </si>
  <si>
    <t>사업부문</t>
  </si>
  <si>
    <t>내용</t>
  </si>
  <si>
    <t>매출비중</t>
  </si>
  <si>
    <t>매출(억)</t>
  </si>
  <si>
    <t>핵심 드라이버</t>
  </si>
  <si>
    <t>수익성</t>
  </si>
  <si>
    <t>특성</t>
  </si>
  <si>
    <t>카지노</t>
  </si>
  <si>
    <t>테이블게임+슬롯머신</t>
  </si>
  <si>
    <t>~80%</t>
  </si>
  <si>
    <t>11,414</t>
  </si>
  <si>
    <t>입장객수 x 1인당 GGR</t>
  </si>
  <si>
    <t>高</t>
  </si>
  <si>
    <t>독점면허</t>
  </si>
  <si>
    <t>내국인 전용 카지노</t>
  </si>
  <si>
    <t>호텔</t>
  </si>
  <si>
    <t>하이원호텔+컨벤션</t>
  </si>
  <si>
    <t>~10%</t>
  </si>
  <si>
    <t>1,426</t>
  </si>
  <si>
    <t>투숙률, 객단가</t>
  </si>
  <si>
    <t>中</t>
  </si>
  <si>
    <t>카지노 연계</t>
  </si>
  <si>
    <t>카지노 방문객 연계</t>
  </si>
  <si>
    <t>리조트</t>
  </si>
  <si>
    <t>스키/골프/콘도</t>
  </si>
  <si>
    <t>방문객수, 시즌</t>
  </si>
  <si>
    <t>中~低</t>
  </si>
  <si>
    <t>계절성</t>
  </si>
  <si>
    <t>동절기 스키, 하절기 골프</t>
  </si>
  <si>
    <t>B. 매출 드라이버 분석</t>
  </si>
  <si>
    <t>핵심 변수</t>
  </si>
  <si>
    <t>설명</t>
  </si>
  <si>
    <t>2024 상황</t>
  </si>
  <si>
    <t>향후 전망</t>
  </si>
  <si>
    <t>입장객수</t>
  </si>
  <si>
    <t>카지노 매출의 핵심 볼륨 지표</t>
  </si>
  <si>
    <t>COVID 이전 대비 ~90% 회복</t>
  </si>
  <si>
    <t>규제완화(입장횟수) 시 상승여력</t>
  </si>
  <si>
    <t>GGR(총게임수익)</t>
  </si>
  <si>
    <t>1인당 게임순수익금 (drop x win rate)</t>
  </si>
  <si>
    <t>Table+Slot 합산 개선 추세</t>
  </si>
  <si>
    <t>테이블게임 비중 증가 시 GGR 상승</t>
  </si>
  <si>
    <t>영업시간</t>
  </si>
  <si>
    <t>현재 주간영업(08~06시)</t>
  </si>
  <si>
    <t>하루 22시간</t>
  </si>
  <si>
    <t>24시간 영업 전환 기대감</t>
  </si>
  <si>
    <t>입장료</t>
  </si>
  <si>
    <t>1회 9,000원 (2024 기준)</t>
  </si>
  <si>
    <t>입장료 인상 이슈</t>
  </si>
  <si>
    <t>인상 시 입장객 감소 vs 객단가 상승</t>
  </si>
  <si>
    <t>입장횟수</t>
  </si>
  <si>
    <t>월 15회 제한</t>
  </si>
  <si>
    <t>사행산업감독위 규제</t>
  </si>
  <si>
    <t>완화 시 최대 수혜</t>
  </si>
  <si>
    <t>C. 주요 투자 프로젝트</t>
  </si>
  <si>
    <t>프로젝트</t>
  </si>
  <si>
    <t>투자금액</t>
  </si>
  <si>
    <t>일정</t>
  </si>
  <si>
    <t>기대효과</t>
  </si>
  <si>
    <t>제2카지노영업장</t>
  </si>
  <si>
    <t>1,796억원</t>
  </si>
  <si>
    <t>건설 진행 중</t>
  </si>
  <si>
    <t>수용능력 확대, 매출 성장 드라이버</t>
  </si>
  <si>
    <t>하이원 리조트 리뉴얼</t>
  </si>
  <si>
    <t>수백억</t>
  </si>
  <si>
    <t>지속 투자</t>
  </si>
  <si>
    <t>리조트 경쟁력 강화</t>
  </si>
  <si>
    <t>스마트카지노</t>
  </si>
  <si>
    <t>수십억</t>
  </si>
  <si>
    <t>순차 도입</t>
  </si>
  <si>
    <t>무인 슬롯, 디지털 전환</t>
  </si>
  <si>
    <t>배당 및 주주환원 정책</t>
  </si>
  <si>
    <t>주당배당(원)</t>
  </si>
  <si>
    <t>배당수익률</t>
  </si>
  <si>
    <t>5.54%</t>
  </si>
  <si>
    <t>5.60%</t>
  </si>
  <si>
    <t>5.09%</t>
  </si>
  <si>
    <t>COVID, 무배당</t>
  </si>
  <si>
    <t>1.98%</t>
  </si>
  <si>
    <t>5.26%</t>
  </si>
  <si>
    <t>배당 재개 본격화</t>
  </si>
  <si>
    <t>6.61%</t>
  </si>
  <si>
    <t>대폭 인상</t>
  </si>
  <si>
    <t>배당수익률 분석</t>
  </si>
  <si>
    <t>현재 배당수익률 6.6% -- 코스피 평균(~2%) 대비 고배당. 안정적 현금흐름 기반 배당 증가 추세.</t>
  </si>
  <si>
    <t>주식 구조 (2024.12.31) -- 현재가 17,690원 기준</t>
  </si>
  <si>
    <t>발행주식수(보통주)</t>
  </si>
  <si>
    <t>213,940,500주</t>
  </si>
  <si>
    <t>자기주식</t>
  </si>
  <si>
    <t>13,534,816주 (6.3%)</t>
  </si>
  <si>
    <t>유통주식수</t>
  </si>
  <si>
    <t>200,405,684주</t>
  </si>
  <si>
    <t>37,846억</t>
  </si>
  <si>
    <t>유통시총</t>
  </si>
  <si>
    <t>35,452억</t>
  </si>
  <si>
    <t>최대주주(한국광해광업공단)</t>
  </si>
  <si>
    <t>77,633,489주 (36.27%)</t>
  </si>
  <si>
    <t>유증 이력</t>
  </si>
  <si>
    <t>없음 (설립 이후 유상증자 없음)</t>
  </si>
  <si>
    <t>규제 환경 및 면허 현황</t>
  </si>
  <si>
    <t>A. 카지노 면허 (핵심 경쟁우위)</t>
  </si>
  <si>
    <t>항목</t>
  </si>
  <si>
    <t>영향</t>
  </si>
  <si>
    <t>내국인 카지노 면허</t>
  </si>
  <si>
    <t>폐광지역 개발 지원에 관한 특별법에 의한 유일한 면허</t>
  </si>
  <si>
    <t>절대적 진입장벽</t>
  </si>
  <si>
    <t>법률 개정 없이 신규 면허 불가</t>
  </si>
  <si>
    <t>면허 기한</t>
  </si>
  <si>
    <t>반영구적 (특별법에 근거)</t>
  </si>
  <si>
    <t>사업 지속성 보장</t>
  </si>
  <si>
    <t>정치적 리스크 매우 낮음</t>
  </si>
  <si>
    <t>면허 취소 사유</t>
  </si>
  <si>
    <t>법령 위반, 공익 저해 등 극단적 경우만</t>
  </si>
  <si>
    <t>실질적 취소 가능성 극히 낮음</t>
  </si>
  <si>
    <t>외국인 카지노(참고)</t>
  </si>
  <si>
    <t>외국인 전용 17개소 (파라다이스, GKL 등)</t>
  </si>
  <si>
    <t>직접 경쟁 아님</t>
  </si>
  <si>
    <t>고객층 완전 분리</t>
  </si>
  <si>
    <t>B. 영업 규제 현황</t>
  </si>
  <si>
    <t>규제 항목</t>
  </si>
  <si>
    <t>현행 기준</t>
  </si>
  <si>
    <t>사업 영향</t>
  </si>
  <si>
    <t>완화 가능성</t>
  </si>
  <si>
    <t>08:00~익일06:00 (22시간)</t>
  </si>
  <si>
    <t>매출 상한 존재</t>
  </si>
  <si>
    <t>24시간 전환 논의 중</t>
  </si>
  <si>
    <t>고빈도 고객 매출 제한</t>
  </si>
  <si>
    <t>완화 시 매출 10~15% 증가 추정</t>
  </si>
  <si>
    <t>1회 9,000원</t>
  </si>
  <si>
    <t>저가 고객 유입 제한</t>
  </si>
  <si>
    <t>인상 논의 (입장객 감소 리스크)</t>
  </si>
  <si>
    <t>베팅한도</t>
  </si>
  <si>
    <t>테이블별 상이 (최대 30만원)</t>
  </si>
  <si>
    <t>VIP 고객 유치 제한</t>
  </si>
  <si>
    <t>조정 가능성 있음</t>
  </si>
  <si>
    <t>신분증 확인</t>
  </si>
  <si>
    <t>신분증 의무 제시</t>
  </si>
  <si>
    <t>미성년자/출입금지자 차단</t>
  </si>
  <si>
    <t>규제 유지</t>
  </si>
  <si>
    <t>출입제한제도</t>
  </si>
  <si>
    <t>본인/가족 신청 출입차단</t>
  </si>
  <si>
    <t>매출 감소 요인</t>
  </si>
  <si>
    <t>사회적 책임으로 유지</t>
  </si>
  <si>
    <t>C. 감독 체계 및 사회적 의무</t>
  </si>
  <si>
    <t>감독기관</t>
  </si>
  <si>
    <t>사행산업통합감독위원회</t>
  </si>
  <si>
    <t>문화체육관광부 산하</t>
  </si>
  <si>
    <t>지역공헌 의무</t>
  </si>
  <si>
    <t>카지노 매출의 일정비율 지역발전기금 출연</t>
  </si>
  <si>
    <t>정선군/강원도 발전</t>
  </si>
  <si>
    <t>도박중독 대응</t>
  </si>
  <si>
    <t>한국도박문제관리센터 연계, 자체 프로그램 운영</t>
  </si>
  <si>
    <t>CSR 의무</t>
  </si>
  <si>
    <t>공기업적 성격</t>
  </si>
  <si>
    <t>최대주주 한국광해광업공단(정부산하기관)</t>
  </si>
  <si>
    <t>경영 자율성 제한 요인</t>
  </si>
  <si>
    <t>특별법 근거</t>
  </si>
  <si>
    <t>폐광지역개발지원에관한특별법</t>
  </si>
  <si>
    <t>2025년 일몰 연장 완료</t>
  </si>
  <si>
    <t>* 핵심: 내국인 카지노 면허는 대체 불가능한 독점 자산. 규제 완화/강화가 주가의 최대 변수.</t>
  </si>
  <si>
    <t>강원랜드 밸류에이션 종합 (현재가 17,690원)</t>
  </si>
  <si>
    <t>현재 주가</t>
  </si>
  <si>
    <t>17,690원</t>
  </si>
  <si>
    <t>발행주식수</t>
  </si>
  <si>
    <t>2024 EPS</t>
  </si>
  <si>
    <t>2,257원</t>
  </si>
  <si>
    <t>2024 BPS</t>
  </si>
  <si>
    <t>18,153원</t>
  </si>
  <si>
    <t>2024 DPS</t>
  </si>
  <si>
    <t>1,170원</t>
  </si>
  <si>
    <t>2025E EPS</t>
  </si>
  <si>
    <t>1,479원</t>
  </si>
  <si>
    <t>ROE (2024)</t>
  </si>
  <si>
    <t>12.1%</t>
  </si>
  <si>
    <t>21.0%</t>
  </si>
  <si>
    <t>멀티플 종합</t>
  </si>
  <si>
    <t>지표</t>
  </si>
  <si>
    <t>산출 방식</t>
  </si>
  <si>
    <t>값</t>
  </si>
  <si>
    <t>판정</t>
  </si>
  <si>
    <t>카지노업 참고</t>
  </si>
  <si>
    <t>PER (2024 확정)</t>
  </si>
  <si>
    <t>주가/EPS(2,257원)</t>
  </si>
  <si>
    <t>7.8배</t>
  </si>
  <si>
    <t>저평가</t>
  </si>
  <si>
    <t>10~15배</t>
  </si>
  <si>
    <t>확정 사업보고서</t>
  </si>
  <si>
    <t>PER (2025E)</t>
  </si>
  <si>
    <t>주가/EPS(1,479원)</t>
  </si>
  <si>
    <t>12.0배</t>
  </si>
  <si>
    <t>적정~고평가</t>
  </si>
  <si>
    <t>2025 잠정실적 전체</t>
  </si>
  <si>
    <t>PBR</t>
  </si>
  <si>
    <t>주가/BPS(18,153원)</t>
  </si>
  <si>
    <t>0.97배</t>
  </si>
  <si>
    <t>적정</t>
  </si>
  <si>
    <t>0.8~1.5배</t>
  </si>
  <si>
    <t>무차입 고ROE</t>
  </si>
  <si>
    <t>EV/EBITDA</t>
  </si>
  <si>
    <t>EV(35,401억)/EBITDA(3,643억)</t>
  </si>
  <si>
    <t>9.7배</t>
  </si>
  <si>
    <t>8~12배</t>
  </si>
  <si>
    <t>무차입→EV&lt;시총</t>
  </si>
  <si>
    <t>PSR (2024)</t>
  </si>
  <si>
    <t>시총/매출(14,269억)</t>
  </si>
  <si>
    <t>2.65배</t>
  </si>
  <si>
    <t>2~4배</t>
  </si>
  <si>
    <t>카지노 고마진</t>
  </si>
  <si>
    <t>DPS(1,170원)/주가</t>
  </si>
  <si>
    <t>6.6%</t>
  </si>
  <si>
    <t>매우양호</t>
  </si>
  <si>
    <t>2~4%</t>
  </si>
  <si>
    <t>고배당주</t>
  </si>
  <si>
    <t>FCF 수익률</t>
  </si>
  <si>
    <t>FCF(1,774원)/주가</t>
  </si>
  <si>
    <t>10.0%</t>
  </si>
  <si>
    <t>양호</t>
  </si>
  <si>
    <t>3~6%</t>
  </si>
  <si>
    <t>순이익/평균자본</t>
  </si>
  <si>
    <t>8~15%</t>
  </si>
  <si>
    <t>무차입 순수 ROE</t>
  </si>
  <si>
    <t>Net Cash/시총</t>
  </si>
  <si>
    <t>순현금(2,445억)/시총</t>
  </si>
  <si>
    <t>6.5%</t>
  </si>
  <si>
    <t>무차입경영 프리미엄</t>
  </si>
  <si>
    <t>PER 다각도 분석 (현재가 17,690원)</t>
  </si>
  <si>
    <t>A. EPS 산출 방식별 PER</t>
  </si>
  <si>
    <t>순이익(억)</t>
  </si>
  <si>
    <t>PER(배)</t>
  </si>
  <si>
    <t>의미</t>
  </si>
  <si>
    <t>2024 확정</t>
  </si>
  <si>
    <t>2,257</t>
  </si>
  <si>
    <t>7.84배</t>
  </si>
  <si>
    <t>확정치 기준</t>
  </si>
  <si>
    <t>사업보고서</t>
  </si>
  <si>
    <t>2025 잠정 (전체)</t>
  </si>
  <si>
    <t>1,479</t>
  </si>
  <si>
    <t>11.96배</t>
  </si>
  <si>
    <t>2025년 전체</t>
  </si>
  <si>
    <t>4분기 모두 확정</t>
  </si>
  <si>
    <t>2024-2025 평균</t>
  </si>
  <si>
    <t>1,807</t>
  </si>
  <si>
    <t>9.79배</t>
  </si>
  <si>
    <t>2개년 평균</t>
  </si>
  <si>
    <t>변동성 완화</t>
  </si>
  <si>
    <t>COVID제외 5년평균</t>
  </si>
  <si>
    <t>1,445</t>
  </si>
  <si>
    <t>12.24배</t>
  </si>
  <si>
    <t>정상화 후 평균</t>
  </si>
  <si>
    <t>2022~2025</t>
  </si>
  <si>
    <t>B. 분기별 실적 추이 (백만원)</t>
  </si>
  <si>
    <t>OPM</t>
  </si>
  <si>
    <t>YoY 순이익</t>
  </si>
  <si>
    <t>367,419</t>
  </si>
  <si>
    <t>78,917</t>
  </si>
  <si>
    <t>21.5%</t>
  </si>
  <si>
    <t>116,972</t>
  </si>
  <si>
    <t>353,281</t>
  </si>
  <si>
    <t>71,129</t>
  </si>
  <si>
    <t>20.1%</t>
  </si>
  <si>
    <t>113,724</t>
  </si>
  <si>
    <t>371,735</t>
  </si>
  <si>
    <t>74,744</t>
  </si>
  <si>
    <t>124,461</t>
  </si>
  <si>
    <t>334,427</t>
  </si>
  <si>
    <t>61,000</t>
  </si>
  <si>
    <t>18.2%</t>
  </si>
  <si>
    <t>101,738</t>
  </si>
  <si>
    <t>365,830</t>
  </si>
  <si>
    <t>77,659</t>
  </si>
  <si>
    <t>21.2%</t>
  </si>
  <si>
    <t>78,021</t>
  </si>
  <si>
    <t>-33.3%</t>
  </si>
  <si>
    <t>360,727</t>
  </si>
  <si>
    <t>57,874</t>
  </si>
  <si>
    <t>16.0%</t>
  </si>
  <si>
    <t>60,630</t>
  </si>
  <si>
    <t>-46.7%</t>
  </si>
  <si>
    <t>384,147</t>
  </si>
  <si>
    <t>72,702</t>
  </si>
  <si>
    <t>18.9%</t>
  </si>
  <si>
    <t>113,070</t>
  </si>
  <si>
    <t>-9.2%</t>
  </si>
  <si>
    <t>365,446</t>
  </si>
  <si>
    <t>29,697</t>
  </si>
  <si>
    <t>8.1%</t>
  </si>
  <si>
    <t>66,017</t>
  </si>
  <si>
    <t>-35.1%</t>
  </si>
  <si>
    <t>2025 연간</t>
  </si>
  <si>
    <t>1,476,726</t>
  </si>
  <si>
    <t>235,176</t>
  </si>
  <si>
    <t>15.9%</t>
  </si>
  <si>
    <t>316,516</t>
  </si>
  <si>
    <t>C. 목표PER별 적정주가 (카지노업 PER 10~15배)</t>
  </si>
  <si>
    <t>기준</t>
  </si>
  <si>
    <t>PER 8배</t>
  </si>
  <si>
    <t>PER 10배</t>
  </si>
  <si>
    <t>PER 12배</t>
  </si>
  <si>
    <t>PER 15배</t>
  </si>
  <si>
    <t>18,056원</t>
  </si>
  <si>
    <t>22,570원</t>
  </si>
  <si>
    <t>27,084원</t>
  </si>
  <si>
    <t>33,855원</t>
  </si>
  <si>
    <t>2025E 잠정</t>
  </si>
  <si>
    <t>11,832원</t>
  </si>
  <si>
    <t>14,790원</t>
  </si>
  <si>
    <t>17,748원</t>
  </si>
  <si>
    <t>22,185원</t>
  </si>
  <si>
    <t>14,456원</t>
  </si>
  <si>
    <t>18,070원</t>
  </si>
  <si>
    <t>21,684원</t>
  </si>
  <si>
    <t>27,105원</t>
  </si>
  <si>
    <t>정상화 5년평균</t>
  </si>
  <si>
    <t>11,560원</t>
  </si>
  <si>
    <t>14,450원</t>
  </si>
  <si>
    <t>17,340원</t>
  </si>
  <si>
    <t>21,675원</t>
  </si>
  <si>
    <t>-&gt; 현재 17,690원 = 2024 EPS 기준 PER 7.8배. 2025E 기준 PER 12.0배. 카지노업 PER 10~15배 참고.</t>
  </si>
  <si>
    <t>PBR / ROE / 잔여이익모델(RIM)</t>
  </si>
  <si>
    <t>A. 연도별 BPS/ROE 추이</t>
  </si>
  <si>
    <t>자본(억)</t>
  </si>
  <si>
    <t>BPS(원)</t>
  </si>
  <si>
    <t>2019</t>
  </si>
  <si>
    <t>15,546</t>
  </si>
  <si>
    <t>10.6%</t>
  </si>
  <si>
    <t>1,651</t>
  </si>
  <si>
    <t>2020</t>
  </si>
  <si>
    <t>14,186</t>
  </si>
  <si>
    <t>-1,361</t>
  </si>
  <si>
    <t>2021</t>
  </si>
  <si>
    <t>14,134</t>
  </si>
  <si>
    <t>-0.4%</t>
  </si>
  <si>
    <t>-52</t>
  </si>
  <si>
    <t>2022</t>
  </si>
  <si>
    <t>15,480</t>
  </si>
  <si>
    <t>3.9%</t>
  </si>
  <si>
    <t>570</t>
  </si>
  <si>
    <t>2023</t>
  </si>
  <si>
    <t>17,191</t>
  </si>
  <si>
    <t>9.8%</t>
  </si>
  <si>
    <t>1,681</t>
  </si>
  <si>
    <t>2024</t>
  </si>
  <si>
    <t>18,153</t>
  </si>
  <si>
    <t>B. 현재 PBR</t>
  </si>
  <si>
    <t>BPS (18,153원)</t>
  </si>
  <si>
    <t>PBR = 0.97배</t>
  </si>
  <si>
    <t>PBR 0.8배 주가</t>
  </si>
  <si>
    <t>14,522원</t>
  </si>
  <si>
    <t>PBR 1.0배 주가</t>
  </si>
  <si>
    <t>PBR 1.2배 주가</t>
  </si>
  <si>
    <t>21,783원</t>
  </si>
  <si>
    <t>PBR 1.5배 주가</t>
  </si>
  <si>
    <t>27,229원</t>
  </si>
  <si>
    <t>C. 잔여이익모델(RIM) 적정주가</t>
  </si>
  <si>
    <t>산식: BPS x (1 + (ROE-ke)/(ke-g)) | ke=9% (무위험3.5%+beta0.8xERP6.5%)</t>
  </si>
  <si>
    <t>시나리오</t>
  </si>
  <si>
    <t>지속ROE</t>
  </si>
  <si>
    <t>ke</t>
  </si>
  <si>
    <t>성장률(g)</t>
  </si>
  <si>
    <t>적정주가</t>
  </si>
  <si>
    <t>현재가 대비</t>
  </si>
  <si>
    <t>보수적(정상화ROE)</t>
  </si>
  <si>
    <t>8.0%</t>
  </si>
  <si>
    <t>9%</t>
  </si>
  <si>
    <t>1.0%</t>
  </si>
  <si>
    <t>15,883원</t>
  </si>
  <si>
    <t>-10.2%</t>
  </si>
  <si>
    <t>기본(2024수준)</t>
  </si>
  <si>
    <t>1.5%</t>
  </si>
  <si>
    <t>25,656원</t>
  </si>
  <si>
    <t>+45.0%</t>
  </si>
  <si>
    <t>적극적(규제완화)</t>
  </si>
  <si>
    <t>15.0%</t>
  </si>
  <si>
    <t>2.0%</t>
  </si>
  <si>
    <t>33,712원</t>
  </si>
  <si>
    <t>+90.6%</t>
  </si>
  <si>
    <t>낙관적(최적화)</t>
  </si>
  <si>
    <t>18.0%</t>
  </si>
  <si>
    <t>41,492원</t>
  </si>
  <si>
    <t>+134.6%</t>
  </si>
  <si>
    <t>-&gt; 기본(ROE12.1%) 적정가 ~25,656원. 적극적(15%) ~33,712원. 현재 PBR 0.97배.</t>
  </si>
  <si>
    <t>EV/EBITDA &amp; FCF 밸류에이션</t>
  </si>
  <si>
    <t>A. Enterprise Value (무차입경영)</t>
  </si>
  <si>
    <t>금액(억)</t>
  </si>
  <si>
    <t>37,846</t>
  </si>
  <si>
    <t>주가17,690x213,940,500주</t>
  </si>
  <si>
    <t>(+) 총차입금</t>
  </si>
  <si>
    <t>0</t>
  </si>
  <si>
    <t>단기 0 + 장기 0 (무차입경영)</t>
  </si>
  <si>
    <t>(-) 현금</t>
  </si>
  <si>
    <t>2,444</t>
  </si>
  <si>
    <t>현금및현금성자산</t>
  </si>
  <si>
    <t>(=) 순차입금</t>
  </si>
  <si>
    <t>-2,444</t>
  </si>
  <si>
    <t>음수 = Net Cash position</t>
  </si>
  <si>
    <t>(=) EV</t>
  </si>
  <si>
    <t>35,401</t>
  </si>
  <si>
    <t>시총+순차입금 (시총보다 작음)</t>
  </si>
  <si>
    <t>* 무차입경영: 차입금 0원, 현금 2,445억 보유. EV가 시가총액보다 낮아 EV/EBITDA 배수 유리.</t>
  </si>
  <si>
    <t>B. EBITDA</t>
  </si>
  <si>
    <t>2024(억)</t>
  </si>
  <si>
    <t>2,857</t>
  </si>
  <si>
    <t>(+) 감가상각비</t>
  </si>
  <si>
    <t>784</t>
  </si>
  <si>
    <t>유형+무형자산 상각</t>
  </si>
  <si>
    <t>(=) EBITDA</t>
  </si>
  <si>
    <t>3,642</t>
  </si>
  <si>
    <t>마진 25.5%</t>
  </si>
  <si>
    <t>C. EV/EBITDA 적정주가</t>
  </si>
  <si>
    <t>EBITDA(억)</t>
  </si>
  <si>
    <t>현재배수</t>
  </si>
  <si>
    <t>적정EV(10배)</t>
  </si>
  <si>
    <t>적정주가(10배)</t>
  </si>
  <si>
    <t>36,420억</t>
  </si>
  <si>
    <t>18,165원</t>
  </si>
  <si>
    <t>2025E (OP+DA)</t>
  </si>
  <si>
    <t>3,136</t>
  </si>
  <si>
    <t>11.3배</t>
  </si>
  <si>
    <t>31,360억</t>
  </si>
  <si>
    <t>15,800원</t>
  </si>
  <si>
    <t>D. FCF &amp; 주주환원</t>
  </si>
  <si>
    <t>영업활동CF</t>
  </si>
  <si>
    <t>4,870</t>
  </si>
  <si>
    <t>(-) CAPEX</t>
  </si>
  <si>
    <t>1,074</t>
  </si>
  <si>
    <t>유형자산취득 (제2카지노 포함)</t>
  </si>
  <si>
    <t>(=) FCF</t>
  </si>
  <si>
    <t>3,795</t>
  </si>
  <si>
    <t>FCF/주</t>
  </si>
  <si>
    <t>1,774원</t>
  </si>
  <si>
    <t>배당금 지급</t>
  </si>
  <si>
    <t>1,885</t>
  </si>
  <si>
    <t>1,170원/주</t>
  </si>
  <si>
    <t>자기주식(보유)</t>
  </si>
  <si>
    <t>13,534,816주</t>
  </si>
  <si>
    <t>총 배당환원율</t>
  </si>
  <si>
    <t>5.0%</t>
  </si>
  <si>
    <t>-&gt; FCF수익률 10.0%, 배당수익률 6.6%. 무차입+고배당+안정적 FCF 창출 기업.</t>
  </si>
  <si>
    <t>시나리오별 목표주가 (현재가 17,690원)</t>
  </si>
  <si>
    <t>A. 방법론별 적정가 레인지</t>
  </si>
  <si>
    <t>방법론</t>
  </si>
  <si>
    <t>보수적</t>
  </si>
  <si>
    <t>기본</t>
  </si>
  <si>
    <t>적극적</t>
  </si>
  <si>
    <t>산출 근거</t>
  </si>
  <si>
    <t>PER 방식</t>
  </si>
  <si>
    <t>EPS(2024)x목표PER</t>
  </si>
  <si>
    <t>PBR 방식</t>
  </si>
  <si>
    <t>BPSx목표PBR</t>
  </si>
  <si>
    <t>13,058원</t>
  </si>
  <si>
    <t>21,570원</t>
  </si>
  <si>
    <t>EBITDAx배수</t>
  </si>
  <si>
    <t>RIM</t>
  </si>
  <si>
    <t>ROE기반</t>
  </si>
  <si>
    <t>배당기반</t>
  </si>
  <si>
    <t>14,625원</t>
  </si>
  <si>
    <t>23,400원</t>
  </si>
  <si>
    <t>29,250원</t>
  </si>
  <si>
    <t>DPS/요구수익률</t>
  </si>
  <si>
    <t>B. 종합 시나리오</t>
  </si>
  <si>
    <t>목표주가</t>
  </si>
  <si>
    <t>전제조건</t>
  </si>
  <si>
    <t>확률(주관)</t>
  </si>
  <si>
    <t>강세(Bull)</t>
  </si>
  <si>
    <t>+91.4%</t>
  </si>
  <si>
    <t>규제완화(24시간영업/입장횟수)+제2카지노 완공+배당확대</t>
  </si>
  <si>
    <t>20%</t>
  </si>
  <si>
    <t>기본(Base)</t>
  </si>
  <si>
    <t>+53.1%</t>
  </si>
  <si>
    <t>현행 규제 유지+입장객 완만 회복+배당 유지</t>
  </si>
  <si>
    <t>50%</t>
  </si>
  <si>
    <t>약세(Bear)</t>
  </si>
  <si>
    <t>-33.1%</t>
  </si>
  <si>
    <t>규제강화(입장횟수/베팅한도)+경기침체+배당삭감</t>
  </si>
  <si>
    <t>30%</t>
  </si>
  <si>
    <t>확률가중 기대값</t>
  </si>
  <si>
    <t>23,862원</t>
  </si>
  <si>
    <t>+34.9%</t>
  </si>
  <si>
    <t>Bull x 20% + Base x 50% + Bear x 30%</t>
  </si>
  <si>
    <t>C. RIM (잔여이익모델) 시나리오</t>
  </si>
  <si>
    <t>전제</t>
  </si>
  <si>
    <t>약세</t>
  </si>
  <si>
    <t>15,732원</t>
  </si>
  <si>
    <t>-11.1%</t>
  </si>
  <si>
    <t>COVID재발/규제강화</t>
  </si>
  <si>
    <t>현행수준 유지</t>
  </si>
  <si>
    <t>적극</t>
  </si>
  <si>
    <t>32,675원</t>
  </si>
  <si>
    <t>+84.7%</t>
  </si>
  <si>
    <t>규제완화+효율화</t>
  </si>
  <si>
    <t>낙관</t>
  </si>
  <si>
    <t>39,936원</t>
  </si>
  <si>
    <t>+125.8%</t>
  </si>
  <si>
    <t>최적 운영+규제완화</t>
  </si>
  <si>
    <t>D. SWOT 분석</t>
  </si>
  <si>
    <t>강점 (S)</t>
  </si>
  <si>
    <t>약점 (W)</t>
  </si>
  <si>
    <t xml:space="preserve">  국내 유일 내국인 카지노 면허 (절대적 진입장벽)</t>
  </si>
  <si>
    <t xml:space="preserve">  규제 의존적 사업구조 (정부 정책 변동 리스크)</t>
  </si>
  <si>
    <t xml:space="preserve">  무차입경영 (차입금 0원, 재무안정성 최고)</t>
  </si>
  <si>
    <t xml:space="preserve">  COVID 이전 매출 아직 미회복 (2017년 1.6조 vs 2024년 1.4조)</t>
  </si>
  <si>
    <t xml:space="preserve">  고배당주 (배당수익률 6.6%, 꾸준한 증가 추세)</t>
  </si>
  <si>
    <t xml:space="preserve">  지역 한정 (강원도 정선, 접근성 제한)</t>
  </si>
  <si>
    <t xml:space="preserve">  안정적 현금흐름 (연간 FCF ~3,800억)</t>
  </si>
  <si>
    <t xml:space="preserve">  공기업적 경영 (효율성 제한, 정치적 영향)</t>
  </si>
  <si>
    <t xml:space="preserve">  하이원리조트 종합 관광단지 (카지노+호텔+스키+골프)</t>
  </si>
  <si>
    <t xml:space="preserve">  성장성 한계 (규제로 인한 매출 상한 존재)</t>
  </si>
  <si>
    <t>기회 (O)</t>
  </si>
  <si>
    <t>위협 (T)</t>
  </si>
  <si>
    <t xml:space="preserve">  영업시간 24시간 전환 기대 (매출 10%+ 증가)</t>
  </si>
  <si>
    <t xml:space="preserve">  규제 강화 리스크 (입장료 인상, 베팅한도 축소)</t>
  </si>
  <si>
    <t xml:space="preserve">  입장횟수 규제 완화 (월15회→확대)</t>
  </si>
  <si>
    <t xml:space="preserve">  경기침체 시 유흥비 지출 감소</t>
  </si>
  <si>
    <t xml:space="preserve">  제2카지노영업장 완공 (수용능력 확대)</t>
  </si>
  <si>
    <t xml:space="preserve">  도박중독 사회적 논란 → 정치적 압박</t>
  </si>
  <si>
    <t xml:space="preserve">  외국인 관광객 유치 확대 (IR 복합리조트화)</t>
  </si>
  <si>
    <t xml:space="preserve">  인구감소/고령화 → 장기 수요 축소</t>
  </si>
  <si>
    <t xml:space="preserve">  배당 확대 기대 (배당성향 50%+)</t>
  </si>
  <si>
    <t xml:space="preserve">  온라인 도박 불법 확산 → 대체재 역할</t>
  </si>
  <si>
    <t>향후 핵심 모니터링 지표</t>
  </si>
  <si>
    <t>#</t>
  </si>
  <si>
    <t>세부 내용</t>
  </si>
  <si>
    <t>확인 시기</t>
  </si>
  <si>
    <t>1</t>
  </si>
  <si>
    <t>입장객수 추이</t>
  </si>
  <si>
    <t>카지노 매출의 핵심 선행지표. 월별/분기별 입장객수 공시. COVID 이전 대비 회복률 확인</t>
  </si>
  <si>
    <t>매월/매분기</t>
  </si>
  <si>
    <t>2</t>
  </si>
  <si>
    <t>1인당 게임순수익금. 테이블/슬롯 구성비, win rate 변화 추적</t>
  </si>
  <si>
    <t>매 분기</t>
  </si>
  <si>
    <t>3</t>
  </si>
  <si>
    <t>영업시간/입장 규제 변화</t>
  </si>
  <si>
    <t>24시간 영업 전환, 입장횟수 완화 여부가 주가 최대 촉매</t>
  </si>
  <si>
    <t>수시 (정책발표)</t>
  </si>
  <si>
    <t>4</t>
  </si>
  <si>
    <t>배당정책 변화</t>
  </si>
  <si>
    <t>배당성향/DPS 변화. 현재 배당수익률 6.6%로 고배당주 매력 유지 여부</t>
  </si>
  <si>
    <t>3월 주총</t>
  </si>
  <si>
    <t>5</t>
  </si>
  <si>
    <t>제2카지노영업장 건설</t>
  </si>
  <si>
    <t>투자 1,796억원. 완공 시 수용능력 확대 → 매출 성장 드라이버</t>
  </si>
  <si>
    <t>매 분기 진행상황</t>
  </si>
  <si>
    <t>모니터링 캘린더</t>
  </si>
  <si>
    <t>시기</t>
  </si>
  <si>
    <t>이벤트</t>
  </si>
  <si>
    <t>중요도</t>
  </si>
  <si>
    <t>1~2월</t>
  </si>
  <si>
    <t>연간/4Q 잠정실적 발표</t>
  </si>
  <si>
    <t>+++</t>
  </si>
  <si>
    <t>3월</t>
  </si>
  <si>
    <t>사업보고서/주총/배당정책 확정</t>
  </si>
  <si>
    <t>매분기</t>
  </si>
  <si>
    <t>분기별 입장객수 공시</t>
  </si>
  <si>
    <t>++</t>
  </si>
  <si>
    <t>5월</t>
  </si>
  <si>
    <t>1Q 잠정실적</t>
  </si>
  <si>
    <t>8월</t>
  </si>
  <si>
    <t>반기보고서/2Q 잠정실적</t>
  </si>
  <si>
    <t>11월</t>
  </si>
  <si>
    <t>3Q 잠정실적</t>
  </si>
  <si>
    <t>수시</t>
  </si>
  <si>
    <t>영업시간/입장규제 정책 변경</t>
  </si>
  <si>
    <t>제2카지노 건설 진행 상황</t>
  </si>
  <si>
    <t>사행산업감독위 결정사항</t>
  </si>
  <si>
    <t>SWOT 요약 (한눈에 보기)</t>
  </si>
  <si>
    <t>강점</t>
  </si>
  <si>
    <t>독점면허 / 무차입 / 고배당 / 안정적CF</t>
  </si>
  <si>
    <t>약점</t>
  </si>
  <si>
    <t>규제의존 / COVID미회복 / 지역한정 / 성장한계</t>
  </si>
  <si>
    <t>기회</t>
  </si>
  <si>
    <t>규제완화 / 제2카지노 / 외국인유치 / 배당확대</t>
  </si>
  <si>
    <t>위협</t>
  </si>
  <si>
    <t>규제강화 / 경기침체 / 도박중독논란 / 인구감소</t>
  </si>
  <si>
    <t>주요 이벤트 히스토리 (DB)</t>
  </si>
  <si>
    <t>일자</t>
  </si>
  <si>
    <t>유형</t>
  </si>
  <si>
    <t>20260204</t>
  </si>
  <si>
    <t>IR</t>
  </si>
  <si>
    <t xml:space="preserve">기업설명회(IR) 개최(안내공시) 1. 일시 및 장소 일시 2026-02-12 13:00 장소 여의도 2. 참가 대상자 국내 </t>
  </si>
  <si>
    <t>20260121</t>
  </si>
  <si>
    <t>매출변동</t>
  </si>
  <si>
    <t>매출액 또는 손익구조 30%(대규모법인 15%)이상 변경 ※ 동 정보는 동사가 작성한 결산자료로서, 외부감사인의 감사결과 수치</t>
  </si>
  <si>
    <t>20251201</t>
  </si>
  <si>
    <t>기업설명회(IR) 개최(안내공시) 1. 일시 및 장소 일시 2025-12-04 13:00 장소 서울 여의도 등 2. 참가 대상</t>
  </si>
  <si>
    <t>20251118</t>
  </si>
  <si>
    <t xml:space="preserve">기업설명회(IR) 개최(안내공시) 1. 일시 및 장소 일시 2025-11-21 14:00 장소 여의도 2. 참가 대상자 국내 </t>
  </si>
  <si>
    <t>주요사항보고서 / 거래소 신고의무 사항 금융위원회 / 한국거래소 귀중 2025년 11월 18일 회 사 명 : 주식회사 강원랜드</t>
  </si>
  <si>
    <t>20250814</t>
  </si>
  <si>
    <t>기업설명회(IR) 개최(안내공시) 1. 일시 및 장소 일시 2025-08-25 10:00 장소 서울 여의도 콘래드호텔 2. 참</t>
  </si>
  <si>
    <t>20250616</t>
  </si>
  <si>
    <t>기업설명회(IR) 개최(안내공시) 1. 일시 및 장소 일시 2025-06-19 13:00 장소 서울 여의도 등 2. 참가 대상</t>
  </si>
  <si>
    <t>20250609</t>
  </si>
  <si>
    <t>기업설명회(IR) 개최(안내공시) 1. 일시 및 장소 일시 2025-06-12 13:00 장소 서울여의도 등 2. 참가 대상자</t>
  </si>
  <si>
    <t>20250515</t>
  </si>
  <si>
    <t>기업설명회(IR) 개최(안내공시) 1. 일시 및 장소 일시 2025-05-22 13:00 장소 서울 여의도 등 2. 참가 대상</t>
  </si>
  <si>
    <t>20250307</t>
  </si>
  <si>
    <t>배당결정</t>
  </si>
  <si>
    <t>현금ㆍ현물배당 결정 1. 배당구분 결산배당 2. 배당종류 현금배당 - 현물자산의 상세내역 - 3. 1주당 배당금(원) 보통주식</t>
  </si>
  <si>
    <t>20250123</t>
  </si>
  <si>
    <t>기업설명회(IR) 개최(안내공시) 1. 일시 및 장소 일시 2025-02-06 13:00 장소 서울 여의도 등 2. 참가 대상</t>
  </si>
  <si>
    <t>20250120</t>
  </si>
  <si>
    <t>20250106</t>
  </si>
  <si>
    <t>대량보유</t>
  </si>
  <si>
    <t xml:space="preserve">주식등의 대량보유상황보고서 (약식서식 : 자본시장과 금융투자업에 관한 법률 제147조에 의한 보고 중 '경영권에 영향을 주기 </t>
  </si>
  <si>
    <t>20241128</t>
  </si>
  <si>
    <t>신규시설투자</t>
  </si>
  <si>
    <t>신규 시설투자 등(자율공시) 1. 투자구분 신규시설투자 - 투자대상 제2카지노영업장 조성사업 2. 투자내역 투자금액(원) 17</t>
  </si>
  <si>
    <t>20241010</t>
  </si>
  <si>
    <t>주요사항보고서 / 거래소 신고의무 사항 금융위원회 / 한국거래소 귀중 2024년 10월 10일 회 사 명 : 주식회사 강원랜드</t>
  </si>
  <si>
    <t>강원랜드(KANGWON LAND) 투자 구루 분석</t>
  </si>
  <si>
    <t>Four Filters 종합 대시보드  |  현재가 17,690원  |  2026.02.06 기준</t>
  </si>
  <si>
    <t>A. Four Filters 스코어카드 (100점 만점)</t>
  </si>
  <si>
    <t>필터</t>
  </si>
  <si>
    <t>소항목1</t>
  </si>
  <si>
    <t>소항목2</t>
  </si>
  <si>
    <t>소항목3</t>
  </si>
  <si>
    <t>소항목4</t>
  </si>
  <si>
    <t>소항목5</t>
  </si>
  <si>
    <t>소계</t>
  </si>
  <si>
    <t>F1: 사업 이해도</t>
  </si>
  <si>
    <t>22/25</t>
  </si>
  <si>
    <t>F2: 경제적 해자</t>
  </si>
  <si>
    <t>21/25</t>
  </si>
  <si>
    <t>F3: 경영진 품질</t>
  </si>
  <si>
    <t>18/25</t>
  </si>
  <si>
    <t>F4: 안전마진</t>
  </si>
  <si>
    <t>17/25</t>
  </si>
  <si>
    <t>종합점수</t>
  </si>
  <si>
    <t>78/100 (등급: B)</t>
  </si>
  <si>
    <t>B. 투자 테제</t>
  </si>
  <si>
    <t>강원랜드는 한국 유일의 내국인 카지노 면허를 보유한 규제 독점 기업으로, GPM 50%+, OPM 20~35%의 구조적 고마진 사업을 영위. 무차입 순현금 경영 + 고배당 전통(배당성향 45~60%) + 자사주 매입까지 병행하는 주주환원 기업. 현재 PER 10.4배(T4Q)는 카지노업 기준 저평가 영역이며, 배당수익률 6.6%로 가치주 매력 충분.</t>
  </si>
  <si>
    <t>C. 핵심 강점 vs 리스크</t>
  </si>
  <si>
    <t>핵심 강점 (3)</t>
  </si>
  <si>
    <t>핵심 리스크 (3)</t>
  </si>
  <si>
    <t xml:space="preserve">  1. 한국 유일 내국인 카지노 면허 (규제 독점 해자)</t>
  </si>
  <si>
    <t xml:space="preserve">  1. 정부 규제 리스크 (영업시간/입장료/횟수 제한 변경)</t>
  </si>
  <si>
    <t xml:space="preserve">  2. 무차입경영 + 순현금 2,445억 + 배당수익률 6.6%</t>
  </si>
  <si>
    <t xml:space="preserve">  2. 전문경영인 체제 → 정부 정책 변화에 취약</t>
  </si>
  <si>
    <t xml:space="preserve">  3. COVID 정상화 완료 → 매출/이익 회복 + 신규 투자(제2카지노)</t>
  </si>
  <si>
    <t xml:space="preserve">  3. 온라인 도박 합법화 또는 내국인 카지노 추가 면허 가능성</t>
  </si>
  <si>
    <t>D. 필터별 소항목 상세</t>
  </si>
  <si>
    <t>평가 근거</t>
  </si>
  <si>
    <t>점수</t>
  </si>
  <si>
    <t>Filter 1: 사업 이해도</t>
  </si>
  <si>
    <t>사업모델 단순성</t>
  </si>
  <si>
    <t>내국인 독점 카지노 + 리조트(호텔/스키/골프)</t>
  </si>
  <si>
    <t>높음</t>
  </si>
  <si>
    <t>5/5</t>
  </si>
  <si>
    <t>매출구조 명확성</t>
  </si>
  <si>
    <t>카지노 80%+ / 호텔·콘도·스키·골프 20%</t>
  </si>
  <si>
    <t>10년 일관성</t>
  </si>
  <si>
    <t>2000년 개장 이래 카지노+리조트 사업 일관</t>
  </si>
  <si>
    <t>수요 예측성</t>
  </si>
  <si>
    <t>입장객 수 × 1인당 GGR, 계절성 있으나 안정</t>
  </si>
  <si>
    <t>보통</t>
  </si>
  <si>
    <t>4/5</t>
  </si>
  <si>
    <t>규제 환경 이해</t>
  </si>
  <si>
    <t>정부 규제(입장료·시간·횟수) 직접 영향</t>
  </si>
  <si>
    <t>3/5</t>
  </si>
  <si>
    <t>Filter 2: 경제적 해자</t>
  </si>
  <si>
    <t>규제 독점</t>
  </si>
  <si>
    <t>한국 유일 내국인 카지노 면허 (법적 진입장벽)</t>
  </si>
  <si>
    <t>매우 강함</t>
  </si>
  <si>
    <t>브랜드/입지</t>
  </si>
  <si>
    <t>강원도 정선 독점 입지, 관광 인프라 독점</t>
  </si>
  <si>
    <t>강함</t>
  </si>
  <si>
    <t>전환비용</t>
  </si>
  <si>
    <t>도박 중독성으로 재방문율 높음, 대체재 부재</t>
  </si>
  <si>
    <t>수익성 지속</t>
  </si>
  <si>
    <t>GPM 50%+, OPM 25~35% 구조적 고마진</t>
  </si>
  <si>
    <t>해자 위협</t>
  </si>
  <si>
    <t>온라인 도박 합법화, 복합리조트 확대 가능성</t>
  </si>
  <si>
    <t>Filter 3: 경영진 품질</t>
  </si>
  <si>
    <t>경영진 구조</t>
  </si>
  <si>
    <t>전문경영인 체제 (정부 영향력 하 공기업형)</t>
  </si>
  <si>
    <t>보수 합리성</t>
  </si>
  <si>
    <t>개별 CEO 보수 미공개 (5억 미만 추정)</t>
  </si>
  <si>
    <t>배당 정책</t>
  </si>
  <si>
    <t>고배당 전통 유지, DPS 930→1,170원 인상</t>
  </si>
  <si>
    <t>지역공헌/사회적 의무</t>
  </si>
  <si>
    <t>폐광지역 지원, 강원도 지역경제 기여</t>
  </si>
  <si>
    <t>성장 투자</t>
  </si>
  <si>
    <t>제2카지노영업장 1,796억 신규 투자 결정</t>
  </si>
  <si>
    <t>Filter 4: 안전마진</t>
  </si>
  <si>
    <t>PER 수준</t>
  </si>
  <si>
    <t>확정 7.8배 / T4Q 10.4배 (카지노 기준 10~15배)</t>
  </si>
  <si>
    <t>PBR 수준</t>
  </si>
  <si>
    <t>0.97배 (기준 0.8~1.5배)</t>
  </si>
  <si>
    <t>10.0% (기준 &gt;5%)</t>
  </si>
  <si>
    <t>9.7배 (기준 8~12배)</t>
  </si>
  <si>
    <t>6.6% (기준 &gt;3%)</t>
  </si>
  <si>
    <t>경제적 해자(Economic Moat) 분석</t>
  </si>
  <si>
    <t>A. 해자 유형 판정</t>
  </si>
  <si>
    <t>해자 유형</t>
  </si>
  <si>
    <t>보유 여부</t>
  </si>
  <si>
    <t>강도</t>
  </si>
  <si>
    <t>근거</t>
  </si>
  <si>
    <t>지속가능성</t>
  </si>
  <si>
    <t>O</t>
  </si>
  <si>
    <t>한국 유일 내국인 카지노 면허 (폐광지역개발특별법)</t>
  </si>
  <si>
    <t>영구적</t>
  </si>
  <si>
    <t>정선 독점 입지, 서울서 3시간 거리에도 유일한 선택지</t>
  </si>
  <si>
    <t>10년+</t>
  </si>
  <si>
    <t>도박 중독성+대체재 부재로 재방문율 높음</t>
  </si>
  <si>
    <t>네트워크 효과</t>
  </si>
  <si>
    <t>X</t>
  </si>
  <si>
    <t>없음</t>
  </si>
  <si>
    <t>카지노/리조트 사업 구조상 해당 없음</t>
  </si>
  <si>
    <t>비용우위</t>
  </si>
  <si>
    <t>△</t>
  </si>
  <si>
    <t>독점이므로 비용 경쟁 불필요, 오히려 고비용 구조</t>
  </si>
  <si>
    <t>해당없음</t>
  </si>
  <si>
    <t>B. 수익성 추이 (10년)</t>
  </si>
  <si>
    <t>매출액(억)</t>
  </si>
  <si>
    <t>매출총이익(억)</t>
  </si>
  <si>
    <t>GPM</t>
  </si>
  <si>
    <t>영업이익(억)</t>
  </si>
  <si>
    <t>ROIC</t>
  </si>
  <si>
    <t>2015</t>
  </si>
  <si>
    <t>53.5%</t>
  </si>
  <si>
    <t>36.4%</t>
  </si>
  <si>
    <t>15.5%</t>
  </si>
  <si>
    <t>최대 실적</t>
  </si>
  <si>
    <t>2016</t>
  </si>
  <si>
    <t>53.7%</t>
  </si>
  <si>
    <t>36.5%</t>
  </si>
  <si>
    <t>14.8%</t>
  </si>
  <si>
    <t>2017</t>
  </si>
  <si>
    <t>50.9%</t>
  </si>
  <si>
    <t>33.1%</t>
  </si>
  <si>
    <t>11.8%</t>
  </si>
  <si>
    <t>2018</t>
  </si>
  <si>
    <t>49.3%</t>
  </si>
  <si>
    <t>30.0%</t>
  </si>
  <si>
    <t>9.4%</t>
  </si>
  <si>
    <t>51.5%</t>
  </si>
  <si>
    <t>33.0%</t>
  </si>
  <si>
    <t>10.5%</t>
  </si>
  <si>
    <t>-13.8%</t>
  </si>
  <si>
    <t>-90.2%</t>
  </si>
  <si>
    <t>-10.4%</t>
  </si>
  <si>
    <t>COVID 영업제한</t>
  </si>
  <si>
    <t>-6.7%</t>
  </si>
  <si>
    <t>-1.3%</t>
  </si>
  <si>
    <t>COVID 회복 초기</t>
  </si>
  <si>
    <t>27.5%</t>
  </si>
  <si>
    <t>17.1%</t>
  </si>
  <si>
    <t>29.5%</t>
  </si>
  <si>
    <t>20.3%</t>
  </si>
  <si>
    <t>6.0%</t>
  </si>
  <si>
    <t>29.4%</t>
  </si>
  <si>
    <t>20.0%</t>
  </si>
  <si>
    <t>5.7%</t>
  </si>
  <si>
    <t>COVID 정상화 완료</t>
  </si>
  <si>
    <t>C. 면허 및 규제 환경 (핵심 해자 원천)</t>
  </si>
  <si>
    <t>해자 기여도</t>
  </si>
  <si>
    <t>카지노 면허</t>
  </si>
  <si>
    <t>폐광지역개발특별법에 의한 내국인 카지노 유일 면허</t>
  </si>
  <si>
    <t>결정적</t>
  </si>
  <si>
    <t>매우 높음</t>
  </si>
  <si>
    <t>입장 제한</t>
  </si>
  <si>
    <t>월 15회 입장 제한, 24시간 이내 퇴장</t>
  </si>
  <si>
    <t>매출 상한선 형성</t>
  </si>
  <si>
    <t>중립</t>
  </si>
  <si>
    <t>1만원 (2014년부터 시행)</t>
  </si>
  <si>
    <t>소액, 수요 영향 제한적</t>
  </si>
  <si>
    <t>24시간 영업 (2023년 정상화)</t>
  </si>
  <si>
    <t>COVID 기간 제한 해제</t>
  </si>
  <si>
    <t>긍정</t>
  </si>
  <si>
    <t>사행산업 규제</t>
  </si>
  <si>
    <t>사행산업감독위원회 감독</t>
  </si>
  <si>
    <t>규제 강화 시 직접 영향</t>
  </si>
  <si>
    <t>리스크</t>
  </si>
  <si>
    <t>지역기여 의무</t>
  </si>
  <si>
    <t>폐광지역 지원금, 고용 의무</t>
  </si>
  <si>
    <t>비용 요인이나 면허 유지 정당성</t>
  </si>
  <si>
    <t>D. 해자 종합 평가</t>
  </si>
  <si>
    <t>해자 폭</t>
  </si>
  <si>
    <t>Wide (규제 독점 — 가장 강력한 해자 유형)</t>
  </si>
  <si>
    <t>해자 추세</t>
  </si>
  <si>
    <t>유지 (면허 체제 변동 가능성 낮음, 제2카지노 투자로 사업 확대)</t>
  </si>
  <si>
    <t>핵심 해자</t>
  </si>
  <si>
    <t>폐광지역개발특별법에 의한 내국인 카지노 독점 면허</t>
  </si>
  <si>
    <t>위협 요인</t>
  </si>
  <si>
    <t>온라인 도박 합법화, 복합리조트(영종도 등) 내국인 개방, 추가 면허</t>
  </si>
  <si>
    <t>결론</t>
  </si>
  <si>
    <t>규제 독점 기반 Wide Moat 보유. 면허 체제 변경 전까지 해자 영구적</t>
  </si>
  <si>
    <t>경영진 평가 (Management Quality)</t>
  </si>
  <si>
    <t>A. 지배구조 개요</t>
  </si>
  <si>
    <t>정부 산하 공공기관</t>
  </si>
  <si>
    <t>경영 형태</t>
  </si>
  <si>
    <t>전문경영인 체제</t>
  </si>
  <si>
    <t>정부 영향력 하 CEO 선임</t>
  </si>
  <si>
    <t>현 대표이사</t>
  </si>
  <si>
    <t>최철규</t>
  </si>
  <si>
    <t>2024년 사업보고서 기준</t>
  </si>
  <si>
    <t>이사회 구성</t>
  </si>
  <si>
    <t>사외이사 과반수</t>
  </si>
  <si>
    <t>공기업형 지배구조</t>
  </si>
  <si>
    <t>감사위원회</t>
  </si>
  <si>
    <t>이사회 내 감사위원회 설치</t>
  </si>
  <si>
    <t>독립성 확보</t>
  </si>
  <si>
    <t>B. 대표이사 보수</t>
  </si>
  <si>
    <t>개별 보수 미공개 (5억원 미만 추정). 공기업형 보수 체계 적용 → 과다 보수 리스크 낮음</t>
  </si>
  <si>
    <t>C. 전문경영인 체크리스트</t>
  </si>
  <si>
    <t>평가 항목</t>
  </si>
  <si>
    <t>현황</t>
  </si>
  <si>
    <t>최대주주 지분율</t>
  </si>
  <si>
    <t>36.27% (한국광해광업공단)</t>
  </si>
  <si>
    <t>공공기관 최대주주 → 적대적 M&amp;A 방어</t>
  </si>
  <si>
    <t>CEO 임기/안정성</t>
  </si>
  <si>
    <t>전문경영인 교체 주기 2~3년</t>
  </si>
  <si>
    <t>정권 교체에 따른 CEO 교체 리스크</t>
  </si>
  <si>
    <t>개별 미공개 (공기업 기준 적용)</t>
  </si>
  <si>
    <t>과다 보수 가능성 낮음</t>
  </si>
  <si>
    <t>고배당 전통 유지, 성향 45~60%</t>
  </si>
  <si>
    <t>우수</t>
  </si>
  <si>
    <t>주주환원 의지 강함</t>
  </si>
  <si>
    <t>자사주 매입</t>
  </si>
  <si>
    <t>2024 233만주 취득 (약 413억)</t>
  </si>
  <si>
    <t>밸류업 프로그램 적극 참여</t>
  </si>
  <si>
    <t>6</t>
  </si>
  <si>
    <t>폐광지역 지원금, 지역고용 의무</t>
  </si>
  <si>
    <t>비용 요인이나 면허 정당성 확보</t>
  </si>
  <si>
    <t>7</t>
  </si>
  <si>
    <t>IR 활동</t>
  </si>
  <si>
    <t>정기 IR 개최 (연 8회+), 잠정실적 공시</t>
  </si>
  <si>
    <t>투자자 소통 적극적</t>
  </si>
  <si>
    <t>D. 주식 구조 및 자사주 현황</t>
  </si>
  <si>
    <t>77,602,044주 (36.27%)</t>
  </si>
  <si>
    <t>소액주주</t>
  </si>
  <si>
    <t>53.38% (약 11만명)</t>
  </si>
  <si>
    <t>E. 경영진 종합 평가</t>
  </si>
  <si>
    <t>지배구조 점수</t>
  </si>
  <si>
    <t>3/5 (공기업형 전문경영인 → 오너십은 없으나 견제 기능 양호)</t>
  </si>
  <si>
    <t>자본배분 점수</t>
  </si>
  <si>
    <t>4/5 (고배당+자사주매입 병행, 제2카지노 성장투자)</t>
  </si>
  <si>
    <t>투명성 점수</t>
  </si>
  <si>
    <t>4/5 (정기 IR 활발, 잠정실적 분기 공시)</t>
  </si>
  <si>
    <t>CEO 리스크</t>
  </si>
  <si>
    <t>보통 (정권교체에 따른 CEO 변경 가능. 단 사업모델이 단순하여 영향 제한적)</t>
  </si>
  <si>
    <t>전문경영인이나 독점 사업의 단순성으로 경영진 역량 의존도 낮음. 주주환원 적극적.</t>
  </si>
  <si>
    <t>자본배분 이력 (Capital Allocation History)</t>
  </si>
  <si>
    <t>A. 배당 추이</t>
  </si>
  <si>
    <t>배당성향(%)</t>
  </si>
  <si>
    <t>변화</t>
  </si>
  <si>
    <t>재개</t>
  </si>
  <si>
    <t>고배당 전통</t>
  </si>
  <si>
    <t>↑</t>
  </si>
  <si>
    <t>→</t>
  </si>
  <si>
    <t>↓</t>
  </si>
  <si>
    <t>COVID 무배당</t>
  </si>
  <si>
    <t>배당 재개 (COVID 후)</t>
  </si>
  <si>
    <t>정상화 배당 복귀</t>
  </si>
  <si>
    <t>51.3%</t>
  </si>
  <si>
    <t>대폭 인상 (+25.8%)</t>
  </si>
  <si>
    <t>2025E</t>
  </si>
  <si>
    <t>예상 (배당수익률 7.3%)</t>
  </si>
  <si>
    <t>B. 자기주식 매입/처분/소각 이력</t>
  </si>
  <si>
    <t>기초(주)</t>
  </si>
  <si>
    <t>취득(주)</t>
  </si>
  <si>
    <t>처분(주)</t>
  </si>
  <si>
    <t>소각(주)</t>
  </si>
  <si>
    <t>기말(주)</t>
  </si>
  <si>
    <t>2013</t>
  </si>
  <si>
    <t>11,201,502</t>
  </si>
  <si>
    <t>421,990</t>
  </si>
  <si>
    <t>밸류업 매입</t>
  </si>
  <si>
    <t>2014</t>
  </si>
  <si>
    <t>2,333,314</t>
  </si>
  <si>
    <t>13,534,816</t>
  </si>
  <si>
    <t>2025</t>
  </si>
  <si>
    <t>진행중</t>
  </si>
  <si>
    <t>2025.11 추가 취득 결정</t>
  </si>
  <si>
    <t>C. 주주환원 이벤트 타임라인</t>
  </si>
  <si>
    <t>이벤트 유형</t>
  </si>
  <si>
    <t>2024.03</t>
  </si>
  <si>
    <t>배당</t>
  </si>
  <si>
    <t>결산배당 주당 930원 결정 (2023년분)</t>
  </si>
  <si>
    <t>2024.10</t>
  </si>
  <si>
    <t>자기주식 취득 결정 (233만주, 약 413억)</t>
  </si>
  <si>
    <t>2024.11</t>
  </si>
  <si>
    <t>신규투자</t>
  </si>
  <si>
    <t>제2카지노영업장 조성사업 1,796억 투자 결정</t>
  </si>
  <si>
    <t>2025.03</t>
  </si>
  <si>
    <t>결산배당 주당 1,170원 결정 (2024년분, +25.8%)</t>
  </si>
  <si>
    <t>2025.11</t>
  </si>
  <si>
    <t>자기주식 추가 취득 결정</t>
  </si>
  <si>
    <t>D. 유상증자/전환사채 이력 (주요)</t>
  </si>
  <si>
    <t>유상증자/CB 발행 이력 없음 → 주주 희석 리스크 없음 (무차입경영)</t>
  </si>
  <si>
    <t>E. 자본배분 점수카드</t>
  </si>
  <si>
    <t>배당 일관성</t>
  </si>
  <si>
    <t>10년 중 2년(2020~2021) COVID 무배당 외 연속 배당, 고배당성향 45~60%</t>
  </si>
  <si>
    <t>자사주 정책</t>
  </si>
  <si>
    <t>2024년 233만주 매입(413억) + 2025년 추가 매입 결정</t>
  </si>
  <si>
    <t>유상증자/CB</t>
  </si>
  <si>
    <t>무차입경영, 유상증자/CB 이력 전무</t>
  </si>
  <si>
    <t>투자(CAPEX)</t>
  </si>
  <si>
    <t>CAPEX/영업CF 22% — 제2카지노 성장투자 적절</t>
  </si>
  <si>
    <t>DPS 1,170원 / 주가 17,690원 = 6.6% — 시장 상위</t>
  </si>
  <si>
    <t>수익성 품질 분석 (Earnings Quality)</t>
  </si>
  <si>
    <t>A. DuPont 3단계 분해 (5년)</t>
  </si>
  <si>
    <t>순이익률</t>
  </si>
  <si>
    <t>자산회전율</t>
  </si>
  <si>
    <t>레버리지</t>
  </si>
  <si>
    <t>ROE (산식확인)</t>
  </si>
  <si>
    <t>-57.6%</t>
  </si>
  <si>
    <t>0.13회</t>
  </si>
  <si>
    <t>1.12배</t>
  </si>
  <si>
    <t>-8.5%</t>
  </si>
  <si>
    <t>COVID 적자</t>
  </si>
  <si>
    <t>0.21회</t>
  </si>
  <si>
    <t>1.18배</t>
  </si>
  <si>
    <t>-0.3%</t>
  </si>
  <si>
    <t>9.1%</t>
  </si>
  <si>
    <t>0.30회</t>
  </si>
  <si>
    <t>1.22배</t>
  </si>
  <si>
    <t>3.4%</t>
  </si>
  <si>
    <t>24.6%</t>
  </si>
  <si>
    <t>0.31회</t>
  </si>
  <si>
    <t>1.21배</t>
  </si>
  <si>
    <t>9.3%</t>
  </si>
  <si>
    <t>32.0%</t>
  </si>
  <si>
    <t>정상화 완료</t>
  </si>
  <si>
    <t>정상 연도 평균 ROE: 8.1% | 판정: 보통  (COVID 기간 제외)</t>
  </si>
  <si>
    <t>B. FCF 대 순이익 비율 (현금이익 품질)</t>
  </si>
  <si>
    <t>영업CF(억)</t>
  </si>
  <si>
    <t>CAPEX(억)</t>
  </si>
  <si>
    <t>FCF(억)</t>
  </si>
  <si>
    <t>FCF/NI</t>
  </si>
  <si>
    <t>적자</t>
  </si>
  <si>
    <t>-25%</t>
  </si>
  <si>
    <t>경고</t>
  </si>
  <si>
    <t>78%</t>
  </si>
  <si>
    <t>주의</t>
  </si>
  <si>
    <t>83%</t>
  </si>
  <si>
    <t>C. 발생액 비율 (Accrual Ratio)</t>
  </si>
  <si>
    <t>발생액 비율 = (순이익 - 영업CF) / 총자산  |  ±5% 이내 양호, ±10% 초과 경고</t>
  </si>
  <si>
    <t>차이(억)</t>
  </si>
  <si>
    <t>총자산(억)</t>
  </si>
  <si>
    <t>발생액비율</t>
  </si>
  <si>
    <t>-7.6%</t>
  </si>
  <si>
    <t>2.8%</t>
  </si>
  <si>
    <t>0.1%</t>
  </si>
  <si>
    <t>-0.6%</t>
  </si>
  <si>
    <t>D. 이익 변동성 (Earnings Volatility)</t>
  </si>
  <si>
    <t>영업이익 평균 (정상3년)</t>
  </si>
  <si>
    <t>2,618억</t>
  </si>
  <si>
    <t>영업이익 표준편차</t>
  </si>
  <si>
    <t>384억</t>
  </si>
  <si>
    <t>변동계수 (CV)</t>
  </si>
  <si>
    <t>0.15</t>
  </si>
  <si>
    <t>안정적</t>
  </si>
  <si>
    <t>&lt;0.3 안정 / 0.3~0.6 보통 / &gt;0.6 높음</t>
  </si>
  <si>
    <t>주의: COVID 기간(2020~2021) 포함 시 변동성 극대화. 정상 연도(2022~2024) 기준으로 분석</t>
  </si>
  <si>
    <t>E. 수익성 품질 종합</t>
  </si>
  <si>
    <t>DuPont 분석</t>
  </si>
  <si>
    <t>정상연도 평균 ROE 8.1% — 독점 사업의 높은 수익성. 레버리지 낮음(1.1~1.2배, 무차입)</t>
  </si>
  <si>
    <t>FCF 품질</t>
  </si>
  <si>
    <t>영업CF가 순이익을 크게 상회 — 현금이익 우수. 감가상각비가 높아 FCF 창출력 양호</t>
  </si>
  <si>
    <t>발생액</t>
  </si>
  <si>
    <t>대부분 ±5% 이내 — 이익의 현금 뒷받침 양호</t>
  </si>
  <si>
    <t>이익 변동성</t>
  </si>
  <si>
    <t>정상연도 CV 0.15 — COVID 제외 시 안정적. 독점 사업의 이익 안정성</t>
  </si>
  <si>
    <t>이익 품질 우수. 독점 카지노의 높은 현금창출력과 낮은 레버리지가 핵심. COVID는 일회성 이벤트</t>
  </si>
  <si>
    <t>내재가치 &amp; 안전마진 분석</t>
  </si>
  <si>
    <t>A. Owner Earnings (버핏 방식)</t>
  </si>
  <si>
    <t>주당(원)</t>
  </si>
  <si>
    <t>4,568</t>
  </si>
  <si>
    <t>2,135</t>
  </si>
  <si>
    <t>연결 지배기업</t>
  </si>
  <si>
    <t>366</t>
  </si>
  <si>
    <t>유형+무형</t>
  </si>
  <si>
    <t>502</t>
  </si>
  <si>
    <t>유형자산 취득</t>
  </si>
  <si>
    <t>(=) Owner Earnings</t>
  </si>
  <si>
    <t>4,278</t>
  </si>
  <si>
    <t>1,999</t>
  </si>
  <si>
    <t>버핏이 보는 진정한 이익</t>
  </si>
  <si>
    <t>현재 시총/Owner Earnings = 8.8배  |  Owner Earnings 수익률 = 11.3%</t>
  </si>
  <si>
    <t>B. 자산가치 (BPS 기반)</t>
  </si>
  <si>
    <t>BPS</t>
  </si>
  <si>
    <t>현재 PBR</t>
  </si>
  <si>
    <t>PBR 0.8배 (하단)</t>
  </si>
  <si>
    <t>PBR 1.0배</t>
  </si>
  <si>
    <t>PBR 1.5배 (상단)</t>
  </si>
  <si>
    <t>순현금/주</t>
  </si>
  <si>
    <t>1,142원</t>
  </si>
  <si>
    <t>무차입 순현금</t>
  </si>
  <si>
    <t>C. PER/PBR 밴드 (과거 vs 현재)</t>
  </si>
  <si>
    <t>PER(현재가)</t>
  </si>
  <si>
    <t>PBR(현재가)</t>
  </si>
  <si>
    <t>2,178</t>
  </si>
  <si>
    <t>8.1배</t>
  </si>
  <si>
    <t>14,012</t>
  </si>
  <si>
    <t>1.26배</t>
  </si>
  <si>
    <t>14.7%</t>
  </si>
  <si>
    <t>2,242</t>
  </si>
  <si>
    <t>7.9배</t>
  </si>
  <si>
    <t>15,203</t>
  </si>
  <si>
    <t>1.16배</t>
  </si>
  <si>
    <t>14.0%</t>
  </si>
  <si>
    <t>2,159</t>
  </si>
  <si>
    <t>8.2배</t>
  </si>
  <si>
    <t>16,365</t>
  </si>
  <si>
    <t>1.08배</t>
  </si>
  <si>
    <t>12.5%</t>
  </si>
  <si>
    <t>1,467</t>
  </si>
  <si>
    <t>12.1배</t>
  </si>
  <si>
    <t>16,765</t>
  </si>
  <si>
    <t>1.06배</t>
  </si>
  <si>
    <t>8.3%</t>
  </si>
  <si>
    <t>10.7배</t>
  </si>
  <si>
    <t>17,377</t>
  </si>
  <si>
    <t>1.02배</t>
  </si>
  <si>
    <t>9.0%</t>
  </si>
  <si>
    <t>31.0배</t>
  </si>
  <si>
    <t>15,964</t>
  </si>
  <si>
    <t>1.11배</t>
  </si>
  <si>
    <t>10.5배</t>
  </si>
  <si>
    <t>1.03배</t>
  </si>
  <si>
    <t>D. 시나리오별 적정주가</t>
  </si>
  <si>
    <t>적정가</t>
  </si>
  <si>
    <t>PER 10배 × 정상EPS</t>
  </si>
  <si>
    <t>19,180원</t>
  </si>
  <si>
    <t>+8.4%</t>
  </si>
  <si>
    <t>EPS 1,918원 × 10배</t>
  </si>
  <si>
    <t>BPS × 0.8배</t>
  </si>
  <si>
    <t>-17.9%</t>
  </si>
  <si>
    <t>PBR 하단</t>
  </si>
  <si>
    <t>PER 12배 × 확정EPS</t>
  </si>
  <si>
    <t>EPS 2,257원 × 12배</t>
  </si>
  <si>
    <t>배당수익률 5% 기준</t>
  </si>
  <si>
    <t>+32.3%</t>
  </si>
  <si>
    <t>DPS 1,170원 / 5%</t>
  </si>
  <si>
    <t>낙관적</t>
  </si>
  <si>
    <t>PER 15배 × 확정EPS</t>
  </si>
  <si>
    <t>EPS 2,257원 × 15배</t>
  </si>
  <si>
    <t>OE × 15배</t>
  </si>
  <si>
    <t>29,999원</t>
  </si>
  <si>
    <t>+69.6%</t>
  </si>
  <si>
    <t>Owner Earnings 기반</t>
  </si>
  <si>
    <t>E. 안전마진 테스트</t>
  </si>
  <si>
    <t>보수적 내재가치</t>
  </si>
  <si>
    <t>16,851원</t>
  </si>
  <si>
    <t>안전마진 -5.0%</t>
  </si>
  <si>
    <t>하방 리스크 확인</t>
  </si>
  <si>
    <t>현재가 17,690원</t>
  </si>
  <si>
    <t>기본 내재가치</t>
  </si>
  <si>
    <t>25,242원</t>
  </si>
  <si>
    <t>안전마진 +29.9%</t>
  </si>
  <si>
    <t>상승여력</t>
  </si>
  <si>
    <t>낙관적 내재가치</t>
  </si>
  <si>
    <t>31,927원</t>
  </si>
  <si>
    <t>안전마진 +44.6%</t>
  </si>
  <si>
    <t>업사이드</t>
  </si>
  <si>
    <t>→ 기본 시나리오 기준 상승 여력 존재. 카지노업 PER 10~15배 밴드에서 현재 저평가 영역. 안전마진: 기본 내재가치(25,242원) 대비 +29.9%</t>
  </si>
  <si>
    <t>최종 투자 판정</t>
  </si>
  <si>
    <t>A. 최종 판정</t>
  </si>
  <si>
    <t>BUY (매수)</t>
  </si>
  <si>
    <t>Four Filters 종합 78/100 (등급 B)
PER 10.4배(T4Q) | PBR 0.97배 | 배당수익률 6.6% | FCF Yield 10.0%</t>
  </si>
  <si>
    <t>B. 판정 근거</t>
  </si>
  <si>
    <t>매수 근거 1</t>
  </si>
  <si>
    <t>규제 독점 해자: 한국 유일 내국인 카지노 면허 — 신규 진입 불가, 가장 강력한 해자 유형</t>
  </si>
  <si>
    <t>매수 근거 2</t>
  </si>
  <si>
    <t>무차입 순현금 경영 + 고배당: 순현금 2,445억, 배당성향 51%, 배당수익률 6.6%</t>
  </si>
  <si>
    <t>매수 근거 3</t>
  </si>
  <si>
    <t>밸류에이션 매력: PER 10.4배(T4Q), 카지노업 기준 10~15배 대비 저평가</t>
  </si>
  <si>
    <t>매수 근거 4</t>
  </si>
  <si>
    <t>성장 투자: 제2카지노영업장 1,796억 투자 → 중장기 매출 성장 동력 확보</t>
  </si>
  <si>
    <t>주의 사항 1</t>
  </si>
  <si>
    <t>정부 규제 리스크: 영업시간/입장료/횟수 제한 변경 시 매출 직접 타격</t>
  </si>
  <si>
    <t>주의 사항 2</t>
  </si>
  <si>
    <t>2025년 실적 둔화: 영업이익 -17.7% YoY, 순이익 -30.7% YoY (잠정)</t>
  </si>
  <si>
    <t>주의 사항 3</t>
  </si>
  <si>
    <t>온라인 도박 합법화 또는 내국인 카지노 추가 면허 시 독점 해자 훼손</t>
  </si>
  <si>
    <t>C. 구루 관점 SWOT</t>
  </si>
  <si>
    <t>강점 (Strengths)</t>
  </si>
  <si>
    <t>약점 (Weaknesses)</t>
  </si>
  <si>
    <t xml:space="preserve">  한국 유일 내국인 카지노 (규제 독점)</t>
  </si>
  <si>
    <t xml:space="preserve">  전문경영인 체제 (정부 영향, 오너십 부재)</t>
  </si>
  <si>
    <t xml:space="preserve">  무차입경영 + 순현금 2,445억</t>
  </si>
  <si>
    <t xml:space="preserve">  정선 단일 입지 (지리적 집중 리스크)</t>
  </si>
  <si>
    <t xml:space="preserve">  GPM 50%+, OPM 25~35% 구조적 고마진</t>
  </si>
  <si>
    <t xml:space="preserve">  사행산업 규제 의존적 사업구조</t>
  </si>
  <si>
    <t xml:space="preserve">  고배당 전통 (배당성향 45~60%)</t>
  </si>
  <si>
    <t xml:space="preserve">  COVID 같은 외부충격에 극도로 취약</t>
  </si>
  <si>
    <t>기회 (Opportunities)</t>
  </si>
  <si>
    <t>위협 (Threats)</t>
  </si>
  <si>
    <t xml:space="preserve">  제2카지노영업장 개장 → 매출 성장 동력</t>
  </si>
  <si>
    <t xml:space="preserve">  온라인 도박 합법화 → 독점 해자 약화</t>
  </si>
  <si>
    <t xml:space="preserve">  관광산업 정상화 → 외국인 관광객 유입</t>
  </si>
  <si>
    <t xml:space="preserve">  내국인 카지노 추가 면허 발급</t>
  </si>
  <si>
    <t xml:space="preserve">  밸류업 프로그램 → 주주환원 강화 가속</t>
  </si>
  <si>
    <t xml:space="preserve">  사행산업 규제 강화 (영업시간 축소 등)</t>
  </si>
  <si>
    <t xml:space="preserve">  배당수익률 매력 → 가치주 재평가</t>
  </si>
  <si>
    <t xml:space="preserve">  경기침체 → 여가소비 감소 → 입장객 감소</t>
  </si>
  <si>
    <t>D. 핵심 모니터링 지표 (5개)</t>
  </si>
  <si>
    <t>구루 관점</t>
  </si>
  <si>
    <t>월별 입장객 수</t>
  </si>
  <si>
    <t>입장객 증감이 매출과 직결. 전년동기 대비 추이 확인</t>
  </si>
  <si>
    <t>매월</t>
  </si>
  <si>
    <t>해자 가동률 확인</t>
  </si>
  <si>
    <t>영업이익률 추이</t>
  </si>
  <si>
    <t>OPM 15% 미만=경고, 20~25%=양호, 30%+=호황</t>
  </si>
  <si>
    <t>분기 실적</t>
  </si>
  <si>
    <t>수익성 품질</t>
  </si>
  <si>
    <t>배당 정책 변화</t>
  </si>
  <si>
    <t>DPS 인상/유지/삭감 여부, 배당성향 변화</t>
  </si>
  <si>
    <t>경영진 신뢰</t>
  </si>
  <si>
    <t>규제 환경 변화</t>
  </si>
  <si>
    <t>영업시간, 입장료, 입장횟수 제한 변경 여부</t>
  </si>
  <si>
    <t>제2카지노 진행상황</t>
  </si>
  <si>
    <t>공사 진척률, 개장 일정, 예상 매출 기여도</t>
  </si>
  <si>
    <t>반기</t>
  </si>
  <si>
    <t>성장 동력</t>
  </si>
  <si>
    <t>E. 매도 트리거 조건</t>
  </si>
  <si>
    <t xml:space="preserve">  내국인 카지노 추가 면허 발급 확정</t>
  </si>
  <si>
    <t>해자 붕괴 → 즉시 매도</t>
  </si>
  <si>
    <t xml:space="preserve">  온라인 도박 합법화 법안 통과</t>
  </si>
  <si>
    <t>독점 해자 약화 → 단계적 매도</t>
  </si>
  <si>
    <t xml:space="preserve">  영업이익률 2년 연속 15% 미만</t>
  </si>
  <si>
    <t>구조적 수익성 훼손</t>
  </si>
  <si>
    <t xml:space="preserve">  배당 2년 연속 삭감 또는 무배당</t>
  </si>
  <si>
    <t>주주환원 정책 변화</t>
  </si>
  <si>
    <t xml:space="preserve">  PER 18배+ (카지노업 과열 기준)</t>
  </si>
  <si>
    <t>안전마진 소멸</t>
  </si>
  <si>
    <t>F. 리스크 시나리오 (최악의 경우)</t>
  </si>
  <si>
    <t>최악 시나리오: 내국인 카지노 추가 면허 2개 발급 + 온라인 도박 부분 합법화
→ 입장객 40% 감소 + 1인당 GGR 20% 하락
→ 매출 6,000억, 영업이익 600억(OPM 10%), 순이익 450억, EPS ~2,100원
→ PER 8배 적용 시 주가 ~16,800원 (현재가 대비 -5%). 이 시나리오 확률: 5% 미만</t>
  </si>
  <si>
    <t>강원랜드 2025년 이익 역성장 분석</t>
  </si>
  <si>
    <t>매출은 성장했는데 이익은 왜 줄었나?  |  구조적 문제인가, 일시적 문제인가?</t>
  </si>
  <si>
    <t>A. 2025년 실적 개요</t>
  </si>
  <si>
    <t>YoY</t>
  </si>
  <si>
    <t>성격</t>
  </si>
  <si>
    <t>매출</t>
  </si>
  <si>
    <t>14,269</t>
  </si>
  <si>
    <t>14,767</t>
  </si>
  <si>
    <t>+3.5%</t>
  </si>
  <si>
    <t>정상 성장</t>
  </si>
  <si>
    <t>2,858</t>
  </si>
  <si>
    <t>2,352</t>
  </si>
  <si>
    <t>-17.7%</t>
  </si>
  <si>
    <t>구조적 우려</t>
  </si>
  <si>
    <t>-4.1p</t>
  </si>
  <si>
    <t>4,569</t>
  </si>
  <si>
    <t>3,165</t>
  </si>
  <si>
    <t>-30.7%</t>
  </si>
  <si>
    <t>대부분 일시적</t>
  </si>
  <si>
    <t>EPS</t>
  </si>
  <si>
    <t>※ 단위: 억원 (연결 기준). OPM = 영업이익률. 2025년은 잠정실적 기준.</t>
  </si>
  <si>
    <t>B. 핵심 진단: 이익 역성장의 두 가지 층위</t>
  </si>
  <si>
    <t>순이익 -30.7%: 대부분 일시적</t>
  </si>
  <si>
    <t>영업이익 -17.7%: 구조적 우려</t>
  </si>
  <si>
    <t>2024년 기타수익 1,291억 (전년 61억)
→ 일회성 소멸이 NI 역성장의 절반+
정상화 시 2024 NI ≈ 3,500억
→ 2025 NI 3,165억은 약 -10% 수준</t>
  </si>
  <si>
    <t>매출 +6.7% vs 매출원가 +14.5%
→ 원가가 매출의 2배 속도로 증가
원가율: 69.3% → 74.3% (+5.0p)
인건비 절감 구조적으로 불가</t>
  </si>
  <si>
    <t>C. 역성장 요인 분류</t>
  </si>
  <si>
    <t>요인</t>
  </si>
  <si>
    <t>영향 규모</t>
  </si>
  <si>
    <t>일시/구조</t>
  </si>
  <si>
    <t>걱정 수준</t>
  </si>
  <si>
    <t>개선 가능성</t>
  </si>
  <si>
    <t>기타수익 1,291억 소멸</t>
  </si>
  <si>
    <t>NI -1,000억+</t>
  </si>
  <si>
    <t>일시적</t>
  </si>
  <si>
    <t>낮음</t>
  </si>
  <si>
    <t>금융자산평가 변동</t>
  </si>
  <si>
    <t>NI ±수백억</t>
  </si>
  <si>
    <t>OPM 악화 (20%→16%)</t>
  </si>
  <si>
    <t>OP -506억</t>
  </si>
  <si>
    <t>구조적</t>
  </si>
  <si>
    <t>매우 낮음</t>
  </si>
  <si>
    <t>매출 천장 (규제)</t>
  </si>
  <si>
    <t>장기 마진 축소</t>
  </si>
  <si>
    <t>제2카지노 (27~28년)</t>
  </si>
  <si>
    <t>퇴직급여 (연173억)</t>
  </si>
  <si>
    <t>경상적 비용</t>
  </si>
  <si>
    <t>경상적</t>
  </si>
  <si>
    <t>비용구조 분석: 매출원가·판관비 추이</t>
  </si>
  <si>
    <t>A. 연간 P&amp;L 구조 (연결, 억원)</t>
  </si>
  <si>
    <t>22→23</t>
  </si>
  <si>
    <t>23→24</t>
  </si>
  <si>
    <t>+9.3%</t>
  </si>
  <si>
    <t>+2.8%</t>
  </si>
  <si>
    <t>매출원가</t>
  </si>
  <si>
    <t>+6.2%</t>
  </si>
  <si>
    <t>+2.9%</t>
  </si>
  <si>
    <t>매출총이익</t>
  </si>
  <si>
    <t>+17.3%</t>
  </si>
  <si>
    <t>+2.4%</t>
  </si>
  <si>
    <t>판관비</t>
  </si>
  <si>
    <t>-3.4%</t>
  </si>
  <si>
    <t>+4.9%</t>
  </si>
  <si>
    <t>+29.7%</t>
  </si>
  <si>
    <t>+1.2%</t>
  </si>
  <si>
    <t>B. 마진율 추이</t>
  </si>
  <si>
    <t>판단</t>
  </si>
  <si>
    <t>원가율</t>
  </si>
  <si>
    <t>72.5%</t>
  </si>
  <si>
    <t>70.5%</t>
  </si>
  <si>
    <t>70.6%</t>
  </si>
  <si>
    <t>74.3%(H1)</t>
  </si>
  <si>
    <t>↑ 악화</t>
  </si>
  <si>
    <t>구조적 비용 증가</t>
  </si>
  <si>
    <t>25.6%(H1)</t>
  </si>
  <si>
    <t>↓ 악화</t>
  </si>
  <si>
    <t>인건비 상승 반영</t>
  </si>
  <si>
    <t>판관비율</t>
  </si>
  <si>
    <t>10.3%</t>
  </si>
  <si>
    <t>9.4%(H1)</t>
  </si>
  <si>
    <t>→ 소폭 상승</t>
  </si>
  <si>
    <t>↓ 급락</t>
  </si>
  <si>
    <t>핵심 우려</t>
  </si>
  <si>
    <t>C. 반기 비교 상세 (연결, 억원)</t>
  </si>
  <si>
    <t>2024 H1</t>
  </si>
  <si>
    <t>2025 H1</t>
  </si>
  <si>
    <t>변화(억)</t>
  </si>
  <si>
    <t>변화(%)</t>
  </si>
  <si>
    <t>비중(24H1)</t>
  </si>
  <si>
    <t>비중(25H1)</t>
  </si>
  <si>
    <t>+6.7%</t>
  </si>
  <si>
    <t>+14.5%</t>
  </si>
  <si>
    <t>69.3%</t>
  </si>
  <si>
    <t>74.4%</t>
  </si>
  <si>
    <t>-10.8%</t>
  </si>
  <si>
    <t>30.7%</t>
  </si>
  <si>
    <t>25.6%</t>
  </si>
  <si>
    <t>8.8%</t>
  </si>
  <si>
    <t>-20.8%</t>
  </si>
  <si>
    <t>21.9%</t>
  </si>
  <si>
    <t>16.2%</t>
  </si>
  <si>
    <t>기타수익</t>
  </si>
  <si>
    <t>-99.1%</t>
  </si>
  <si>
    <t>기타비용</t>
  </si>
  <si>
    <t>+708.0%</t>
  </si>
  <si>
    <t>금융수익</t>
  </si>
  <si>
    <t>+6.4%</t>
  </si>
  <si>
    <t>세전이익</t>
  </si>
  <si>
    <t>-56.6%</t>
  </si>
  <si>
    <t>-61.0%</t>
  </si>
  <si>
    <t>핵심: 매출 +228억(+6.7%)인데 매출원가 +340억(+14.5%) → 원가가 매출의 2배 이상 속도로 증가</t>
  </si>
  <si>
    <t>기타수익: 2024H1 765억 → 2025H1 7억 (일회성 소멸). 기타비용: 25억 → 202억 (일회성 비용 발생)</t>
  </si>
  <si>
    <t>D. 분기별 영업이익률(OPM) 비교</t>
  </si>
  <si>
    <t>24매출(백만)</t>
  </si>
  <si>
    <t>24OP(백만)</t>
  </si>
  <si>
    <t>24 OPM</t>
  </si>
  <si>
    <t>25매출(백만)</t>
  </si>
  <si>
    <t>25OP(백만)</t>
  </si>
  <si>
    <t>25 OPM</t>
  </si>
  <si>
    <t>Q1</t>
  </si>
  <si>
    <t>Q2</t>
  </si>
  <si>
    <t>Q3</t>
  </si>
  <si>
    <t>Q4</t>
  </si>
  <si>
    <t>Q1은 전년 수준 유지, Q2부터 급격 악화. 특히 Q4는 OPM 8.1%로 비수기 효과 + 비용 증가 동시 작용</t>
  </si>
  <si>
    <t>일시적 요인: 기타수익·금융자산평가이익</t>
  </si>
  <si>
    <t>A. 기타수익 추이 (연결, 억원)</t>
  </si>
  <si>
    <t>2025H1</t>
  </si>
  <si>
    <t>2024 비정상</t>
  </si>
  <si>
    <t>2025 비용 발생</t>
  </si>
  <si>
    <t>기타순손익</t>
  </si>
  <si>
    <t xml:space="preserve">  • 2024년 기타수익 1,291억원은 전년(61억) 대비 21배 증가한 비정상적 일회성 항목</t>
  </si>
  <si>
    <t xml:space="preserve">  • 2025년 상반기 기타수익은 7억원에 불과 → 완전 소멸 확인</t>
  </si>
  <si>
    <t xml:space="preserve">  • 세후 영향 추정: 약 1,000억+ → 순이익 역성장(-30.7%)의 절반 이상 설명</t>
  </si>
  <si>
    <t xml:space="preserve">  • 기타수익 제거 시 2024 정상화 NI ≈ 3,500억대 → 2025 NI 3,165억은 약 -10% 수준</t>
  </si>
  <si>
    <t>B. 금융자산·금융수익 분석</t>
  </si>
  <si>
    <t>금융수익 합계</t>
  </si>
  <si>
    <t>-370</t>
  </si>
  <si>
    <t>시장 변동</t>
  </si>
  <si>
    <t xml:space="preserve">  금융자산평가이익</t>
  </si>
  <si>
    <t>-443</t>
  </si>
  <si>
    <t>비현금/변동성</t>
  </si>
  <si>
    <t xml:space="preserve">  금융자산처분이익</t>
  </si>
  <si>
    <t>+81</t>
  </si>
  <si>
    <t xml:space="preserve">  이자수익</t>
  </si>
  <si>
    <t>-6</t>
  </si>
  <si>
    <t>금융원가</t>
  </si>
  <si>
    <t>-49</t>
  </si>
  <si>
    <t>개선</t>
  </si>
  <si>
    <t>C. 금융자산 보유 현황 (2024말, 억원)</t>
  </si>
  <si>
    <t>자산 유형</t>
  </si>
  <si>
    <t>금액</t>
  </si>
  <si>
    <t>시총 대비</t>
  </si>
  <si>
    <t>현금</t>
  </si>
  <si>
    <t>유동금융자산</t>
  </si>
  <si>
    <t>비유동금융자산</t>
  </si>
  <si>
    <t>52.0%</t>
  </si>
  <si>
    <t>합계</t>
  </si>
  <si>
    <t>83.1%</t>
  </si>
  <si>
    <t>시총의 83%</t>
  </si>
  <si>
    <t xml:space="preserve">  • 강원랜드는 금융자산 3.1조원 보유 (시가총액 3.78조의 83%)</t>
  </si>
  <si>
    <t xml:space="preserve">  • 금융자산평가이익이 연 1,300~1,700억씩 발생 → 시장 상황에 따라 변동</t>
  </si>
  <si>
    <t xml:space="preserve">  • 이는 카지노 영업과 무관한 금융투자 수익 → 핵심이익이 아님</t>
  </si>
  <si>
    <t>퇴직급여 분석: 경상적 비용, 금액 자체는 소규모</t>
  </si>
  <si>
    <t>A. 퇴직급여·퇴직금지급·사외적립 추이 (억원)</t>
  </si>
  <si>
    <t>퇴직급여(비용)</t>
  </si>
  <si>
    <t>퇴직금지급(현금)</t>
  </si>
  <si>
    <t>사외적립자산</t>
  </si>
  <si>
    <t>COVID 구조조정 추정</t>
  </si>
  <si>
    <t>사외적립 환수 (+202억)</t>
  </si>
  <si>
    <t>B. 판단</t>
  </si>
  <si>
    <t xml:space="preserve">  • 퇴직급여(비용): 연 167~173억으로 안정적. 매출 1.4조 대비 1.2%에 불과 → 큰 문제 아님</t>
  </si>
  <si>
    <t xml:space="preserve">  • 2020년 550억은 COVID 희망퇴직/구조조정 관련 일시적 비용 → 반복 없음</t>
  </si>
  <si>
    <t xml:space="preserve">  • 퇴직금지급(현금유출)은 145→269→223억으로 변동 있으나, 실제 퇴직자 수에 따른 것</t>
  </si>
  <si>
    <t xml:space="preserve">  • 2024년 사외적립자산 환수(+202억): 기존에 과적립된 퇴직연금을 돌려받음</t>
  </si>
  <si>
    <t xml:space="preserve">    → 순확정급여자산: 1,161억(2023) → 713억(2024)으로 감소</t>
  </si>
  <si>
    <t xml:space="preserve">    → 현금 확보 목적으로 판단, 제2카지노 투자 등에 활용 가능</t>
  </si>
  <si>
    <t xml:space="preserve">  결론: 퇴직급여는 경상적이나 이익 역성장의 핵심 원인이 아님. 연 170억 수준 지속 예상.</t>
  </si>
  <si>
    <t>인건비 구조: 절감 가능성 분석</t>
  </si>
  <si>
    <t>A. 카지노업 원가 구조의 특수성</t>
  </si>
  <si>
    <t xml:space="preserve">  • 매출원가의 99%가 '용역 제공 원가' (제품 판매 원가는 23~77억에 불과)</t>
  </si>
  <si>
    <t xml:space="preserve">  • 용역 원가 = 딜러 인건비 + 보안인력 + 서비스인력 + 시설운영비</t>
  </si>
  <si>
    <t xml:space="preserve">  • 카지노 사업은 극도로 노동집약적: 자동화 대체가 구조적으로 어려움</t>
  </si>
  <si>
    <t xml:space="preserve">  • 정선 지방 입지 → 직원 유치/유지를 위한 추가 복리후생비 필요</t>
  </si>
  <si>
    <t>B. 인건비 절감이 불가능한 5가지 이유</t>
  </si>
  <si>
    <t>1. 공기업 DNA</t>
  </si>
  <si>
    <t>최대주주 한국광해광업공단(36.27%), 정부 영향하의 전문경영인 체제
구조조정/인원감축이 사실상 불가능 (정치적 리스크 매우 높음)</t>
  </si>
  <si>
    <t>2. 설립 목적 = 지역고용</t>
  </si>
  <si>
    <t>폐광지역개발지원특별법으로 설립, 정선군/태백시 최대 고용처
인력 감축 = 설립 취지에 정면 위배 → 감독기관/정치권 반대</t>
  </si>
  <si>
    <t>3. 호봉제 + 연공서열</t>
  </si>
  <si>
    <t>공기업형 임금체계: 근속연수 증가 시 자동 인상
성과급 체계로의 전환이 노조/이해관계자 저항으로 어려움</t>
  </si>
  <si>
    <t>4. 카지노 자동화 한계</t>
  </si>
  <si>
    <t>딜러 업무는 대면 서비스 본질 → 무인화 불가
보안/감시 인력은 사행산업감독위 규제 요건으로 의무적 배치</t>
  </si>
  <si>
    <t>5. 인플레이션 직격</t>
  </si>
  <si>
    <t>최저임금 인상 → 하위 직급 자동 인상
물가/에너지 상승 → 복리후생비, 식대, 교통비 등 간접비도 동반 상승</t>
  </si>
  <si>
    <t>C. 인건비 vs 매출 성장 가위(Scissors) 구조</t>
  </si>
  <si>
    <t>추정 성장률</t>
  </si>
  <si>
    <t>장기 전망</t>
  </si>
  <si>
    <t>매출 성장</t>
  </si>
  <si>
    <t>연 2~4%</t>
  </si>
  <si>
    <t>규제(입장제한/영업시간)로 상한 존재</t>
  </si>
  <si>
    <t>제2카지노 완공(27~28년) 전까지 제한적</t>
  </si>
  <si>
    <t>인건비 상승</t>
  </si>
  <si>
    <t>연 5~8%</t>
  </si>
  <si>
    <t>최저임금+호봉제+물가 연동</t>
  </si>
  <si>
    <t>구조적으로 지속. 절감 수단 없음</t>
  </si>
  <si>
    <t>결과: OPM</t>
  </si>
  <si>
    <t>점진적 하락</t>
  </si>
  <si>
    <t>비용이 매출보다 빠르게 증가</t>
  </si>
  <si>
    <t>Pre-COVID 22% → 현재 16% → 추가 하락 가능</t>
  </si>
  <si>
    <t xml:space="preserve">  결론: 인건비 절감은 구조적으로 불가능. 매출 성장 &lt; 비용 증가 구도가 지속될 가능성 높음.</t>
  </si>
  <si>
    <t xml:space="preserve">  유일한 해결책: 제2카지노영업장 완공(1,796억 투자)으로 매출 천장을 높이는 것.</t>
  </si>
  <si>
    <t>매출 천장: 규제가 만든 성장의 한계</t>
  </si>
  <si>
    <t>A. 10년 매출 추이 (연결, 억원)</t>
  </si>
  <si>
    <t>25.9%</t>
  </si>
  <si>
    <t>+4.2%</t>
  </si>
  <si>
    <t>28.2%</t>
  </si>
  <si>
    <t>-6.0%</t>
  </si>
  <si>
    <t>28.7%</t>
  </si>
  <si>
    <t>Pre-COVID 피크</t>
  </si>
  <si>
    <t>-9.7%</t>
  </si>
  <si>
    <t>20.2%</t>
  </si>
  <si>
    <t>+5.4%</t>
  </si>
  <si>
    <t>22.3%</t>
  </si>
  <si>
    <t>-68.6%</t>
  </si>
  <si>
    <t>-41.8%</t>
  </si>
  <si>
    <t>COVID</t>
  </si>
  <si>
    <t>+64.5%</t>
  </si>
  <si>
    <t>-8.9%</t>
  </si>
  <si>
    <t>COVID 회복 중</t>
  </si>
  <si>
    <t>+61.4%</t>
  </si>
  <si>
    <t>11.4%</t>
  </si>
  <si>
    <t>+9.4%</t>
  </si>
  <si>
    <t>18.6%</t>
  </si>
  <si>
    <t>+2.5%</t>
  </si>
  <si>
    <t>잠정실적</t>
  </si>
  <si>
    <t xml:space="preserve">  • Pre-COVID 피크(2017): 매출 16,013억 → 2025년에도 아직 미회복 (14,767억)</t>
  </si>
  <si>
    <t xml:space="preserve">  • 7년이 지나도 2017년 매출을 넘지 못하는 구조</t>
  </si>
  <si>
    <t>B. 매출 천장의 원인: 규제</t>
  </si>
  <si>
    <t>매출 영향</t>
  </si>
  <si>
    <t>영업시간 제한</t>
  </si>
  <si>
    <t>주 120시간 이내 (1일 최대 20시간)</t>
  </si>
  <si>
    <t>매출 상한 직접 결정</t>
  </si>
  <si>
    <t>입장횟수 제한</t>
  </si>
  <si>
    <t>월 15회 이내</t>
  </si>
  <si>
    <t>상습 이용자 제한 → 고가치 고객 이탈</t>
  </si>
  <si>
    <t>9,000원 (2023년 인상)</t>
  </si>
  <si>
    <t>심리적 진입장벽</t>
  </si>
  <si>
    <t>배팅한도</t>
  </si>
  <si>
    <t>테이블당 최대 30만원</t>
  </si>
  <si>
    <t>1인당 GGR 상한</t>
  </si>
  <si>
    <t>총량규제</t>
  </si>
  <si>
    <t>사행산업 매출총량 관리</t>
  </si>
  <si>
    <t>산업 전체 성장 제한</t>
  </si>
  <si>
    <t>C. 제2카지노영업장 (유일한 돌파구)</t>
  </si>
  <si>
    <t xml:space="preserve">  • 투자 규모: 1,796억원 (자기자본 대비 4.9%)</t>
  </si>
  <si>
    <t xml:space="preserve">  • 공시일: 2024.11.28 (신규시설투자 자율공시)</t>
  </si>
  <si>
    <t xml:space="preserve">  • 예상 완공: 2027~2028년</t>
  </si>
  <si>
    <t xml:space="preserve">  • 기대 효과: 테이블/슬롯 증설 → 수용인원 증가 → 매출 천장 상향</t>
  </si>
  <si>
    <t xml:space="preserve">  • 리스크: 감가상각비 연 100~150억 추가 부담, 규제가 동시 강화될 가능성</t>
  </si>
  <si>
    <t>종합 판단: 해자는 건재하나 효율화 유인 부재</t>
  </si>
  <si>
    <t>A. 버핏 관점 핵심 판단</t>
  </si>
  <si>
    <t>강원랜드의 경제적 해자(규제 독점)는 건재하다. 내국인 카지노 면허는 여전히 유일하며, 경쟁자 진입 가능성은 극히 낮다.
그러나 그 해자가 역설적으로 비용 구조를 개선할 유인도 차단하고 있다. 독점이라 경쟁은 없지만, 공기업이라 효율화도 안 되는 양날의 검.
OPM이 Pre-COVID 22%에서 16%로 내려온 것은 '독점 프리미엄의 침식'이다. 규제 완화나 제2카지노 없이는 반등이 어렵다.</t>
  </si>
  <si>
    <t>B. 구조적 리스크 vs 일시적 노이즈</t>
  </si>
  <si>
    <t>구분</t>
  </si>
  <si>
    <t>지속성</t>
  </si>
  <si>
    <t>투자 시사점</t>
  </si>
  <si>
    <t>기타수익 소멸</t>
  </si>
  <si>
    <t>NI -1,000억</t>
  </si>
  <si>
    <t>1년</t>
  </si>
  <si>
    <t>2024가 비정상, 2025가 정상</t>
  </si>
  <si>
    <t>금융자산평가</t>
  </si>
  <si>
    <t>매년 변동</t>
  </si>
  <si>
    <t>핵심이익 아님, 무시 가능</t>
  </si>
  <si>
    <t>OP -500억/년</t>
  </si>
  <si>
    <t>영구</t>
  </si>
  <si>
    <t>절감 불가, 매년 악화</t>
  </si>
  <si>
    <t>매출 천장</t>
  </si>
  <si>
    <t>성장 제한</t>
  </si>
  <si>
    <t>27~28년까지</t>
  </si>
  <si>
    <t>제2카지노 완공 전까지 지속</t>
  </si>
  <si>
    <t>퇴직급여</t>
  </si>
  <si>
    <t>연 170억</t>
  </si>
  <si>
    <t>매년</t>
  </si>
  <si>
    <t>금액 소규모, 무시 가능</t>
  </si>
  <si>
    <t>C. 시나리오별 OPM 전망</t>
  </si>
  <si>
    <t>OPM 전망</t>
  </si>
  <si>
    <t>전제 조건</t>
  </si>
  <si>
    <t>확률</t>
  </si>
  <si>
    <t>Best</t>
  </si>
  <si>
    <t>18~20%</t>
  </si>
  <si>
    <t>규제완화 + 제2카지노 + 비용관리</t>
  </si>
  <si>
    <t>15%</t>
  </si>
  <si>
    <t>2027년 이후</t>
  </si>
  <si>
    <t>Base</t>
  </si>
  <si>
    <t>14~16%</t>
  </si>
  <si>
    <t>현상유지, 인건비 계속 상승</t>
  </si>
  <si>
    <t>55%</t>
  </si>
  <si>
    <t>현재 수준 유지</t>
  </si>
  <si>
    <t>Worst</t>
  </si>
  <si>
    <t>10~12%</t>
  </si>
  <si>
    <t>규제강화 + 인건비 급등</t>
  </si>
  <si>
    <t>영업시간 추가 축소 시</t>
  </si>
  <si>
    <t>D. 모니터링 포인트</t>
  </si>
  <si>
    <t xml:space="preserve">  • 매출원가율 추이: 74%(H1) → 연간 확정치 확인 (70% 이하 회복 여부)</t>
  </si>
  <si>
    <t xml:space="preserve">  • 분기별 OPM: Q2~Q4 악화 추세가 반전되는지</t>
  </si>
  <si>
    <t xml:space="preserve">  • 제2카지노 건설 진행 상황: 착공/허가/완공 일정</t>
  </si>
  <si>
    <t xml:space="preserve">  • 사행산업 규제 변화: 영업시간/입장횟수/배팅한도 조정 여부</t>
  </si>
  <si>
    <t xml:space="preserve">  • 인건비 관련: 단체협약, 임금인상률, 정원 변동</t>
  </si>
  <si>
    <t xml:space="preserve">  • 기타수익/기타비용: 일회성 항목 규모 (정상화 수준 확인)</t>
  </si>
  <si>
    <t>E. 최종 결론</t>
  </si>
  <si>
    <t>NI -30.7%의 절반 이상은 일시적이다 (2024년 기타수익 소멸). 그러나 OPM 4p 하락과 매출 성장 한계는 구조적 리스크이며, 인건비 절감이 불가능한 공기업 구조에서 이 가위(scissors) 효과는 당분간 지속될 것이다.
투자 관점에서 강원랜드는 '해자는 튼튼하지만 성안의 비용이 계속 올라가는 성' — 배당(수익률 6.6%)과 순현금(3.1조 금융자산)이 버텨주는 한 급락 리스크는 낮으나, 마진 개선 없이는 주가 재평가도 어렵다.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</si>
</sst>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\+#,##0;\-#,##0"/>
  </numFmts>
  <fonts count="38" x14ac:knownFonts="1">
    <font>
      <sz val="11"/>
      <color theme="1"/>
      <name val="맑은 고딕"/>
      <family val="2"/>
      <scheme val="minor"/>
    </font>
    <font>
      <b/>
      <sz val="32"/>
      <color rgb="FFFFFFFF"/>
      <name val="맑은 고딕"/>
      <family val="3"/>
      <charset val="129"/>
    </font>
    <font>
      <sz val="18"/>
      <color rgb="FFD4A843"/>
      <name val="맑은 고딕"/>
      <family val="3"/>
      <charset val="129"/>
    </font>
    <font>
      <sz val="11"/>
      <color rgb="FFB0C4DE"/>
      <name val="맑은 고딕"/>
      <family val="3"/>
      <charset val="129"/>
    </font>
    <font>
      <sz val="11"/>
      <color rgb="FF8899AA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D4A843"/>
      <name val="맑은 고딕"/>
      <family val="3"/>
      <charset val="129"/>
    </font>
    <font>
      <b/>
      <sz val="10"/>
      <color rgb="FFAED6F1"/>
      <name val="맑은 고딕"/>
      <family val="3"/>
      <charset val="129"/>
    </font>
    <font>
      <b/>
      <sz val="14"/>
      <color rgb="FF1B2A4A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C0392B"/>
      <name val="맑은 고딕"/>
      <family val="3"/>
      <charset val="129"/>
    </font>
    <font>
      <b/>
      <sz val="9"/>
      <color rgb="FFC0392B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0"/>
      <color rgb="FF27AE60"/>
      <name val="맑은 고딕"/>
      <family val="3"/>
      <charset val="129"/>
    </font>
    <font>
      <b/>
      <sz val="10"/>
      <color rgb="FF3A5BA0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0"/>
      <color rgb="FF2E86C1"/>
      <name val="맑은 고딕"/>
      <family val="3"/>
      <charset val="129"/>
    </font>
    <font>
      <b/>
      <sz val="9"/>
      <color rgb="FF2E86C1"/>
      <name val="맑은 고딕"/>
      <family val="3"/>
      <charset val="129"/>
    </font>
    <font>
      <b/>
      <sz val="12"/>
      <color rgb="FF27AE60"/>
      <name val="맑은 고딕"/>
      <family val="3"/>
      <charset val="129"/>
    </font>
    <font>
      <b/>
      <sz val="12"/>
      <color rgb="FF1B2A4A"/>
      <name val="맑은 고딕"/>
      <family val="3"/>
      <charset val="129"/>
    </font>
    <font>
      <b/>
      <sz val="12"/>
      <color rgb="FFC0392B"/>
      <name val="맑은 고딕"/>
      <family val="3"/>
      <charset val="129"/>
    </font>
    <font>
      <b/>
      <sz val="24"/>
      <color rgb="FFFFFFFF"/>
      <name val="맑은 고딕"/>
      <family val="3"/>
      <charset val="129"/>
    </font>
    <font>
      <b/>
      <sz val="11"/>
      <color rgb="FF27AE60"/>
      <name val="맑은 고딕"/>
      <family val="3"/>
      <charset val="129"/>
    </font>
    <font>
      <b/>
      <sz val="11"/>
      <color rgb="FF1B2A4A"/>
      <name val="맑은 고딕"/>
      <family val="3"/>
      <charset val="129"/>
    </font>
    <font>
      <b/>
      <sz val="14"/>
      <color rgb="FF27AE60"/>
      <name val="맑은 고딕"/>
      <family val="3"/>
      <charset val="129"/>
    </font>
    <font>
      <b/>
      <sz val="10"/>
      <color rgb="FF1B2A4A"/>
      <name val="맑은 고딕"/>
      <family val="3"/>
      <charset val="129"/>
    </font>
    <font>
      <b/>
      <sz val="11"/>
      <color rgb="FF3A5BA0"/>
      <name val="맑은 고딕"/>
      <family val="3"/>
      <charset val="129"/>
    </font>
    <font>
      <b/>
      <sz val="22"/>
      <color rgb="FFFFFFFF"/>
      <name val="맑은 고딕"/>
      <family val="3"/>
      <charset val="129"/>
    </font>
    <font>
      <b/>
      <sz val="20"/>
      <color rgb="FF27AE60"/>
      <name val="맑은 고딕"/>
      <family val="3"/>
      <charset val="129"/>
    </font>
    <font>
      <sz val="10"/>
      <color rgb="FFC0392B"/>
      <name val="맑은 고딕"/>
      <family val="3"/>
      <charset val="129"/>
    </font>
    <font>
      <b/>
      <sz val="10"/>
      <color rgb="FFB8860B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3E6B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EBF1F8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2980B9"/>
      </patternFill>
    </fill>
    <fill>
      <patternFill patternType="solid">
        <fgColor rgb="FF7F8C8D"/>
      </patternFill>
    </fill>
    <fill>
      <patternFill patternType="solid">
        <fgColor rgb="FFE5E7E9"/>
      </patternFill>
    </fill>
    <fill>
      <patternFill patternType="solid">
        <fgColor rgb="FFFDE8E8"/>
      </patternFill>
    </fill>
    <fill>
      <patternFill patternType="solid">
        <fgColor rgb="FF2E86C1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1B2A4A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1B2A4A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 style="medium">
        <color rgb="FF1B2A4A"/>
      </top>
      <bottom/>
      <diagonal/>
    </border>
    <border>
      <left/>
      <right/>
      <top style="medium">
        <color rgb="FF1B2A4A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2" borderId="0" xfId="0" applyFill="1"/>
    <xf numFmtId="0" fontId="9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left" vertical="center" wrapText="1"/>
    </xf>
    <xf numFmtId="176" fontId="11" fillId="5" borderId="2" xfId="0" applyNumberFormat="1" applyFont="1" applyFill="1" applyBorder="1" applyAlignment="1">
      <alignment horizontal="right" vertical="center"/>
    </xf>
    <xf numFmtId="3" fontId="11" fillId="6" borderId="2" xfId="0" applyNumberFormat="1" applyFont="1" applyFill="1" applyBorder="1" applyAlignment="1">
      <alignment horizontal="right" vertical="center"/>
    </xf>
    <xf numFmtId="3" fontId="12" fillId="6" borderId="2" xfId="0" applyNumberFormat="1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3" fontId="10" fillId="7" borderId="2" xfId="0" applyNumberFormat="1" applyFont="1" applyFill="1" applyBorder="1" applyAlignment="1">
      <alignment horizontal="right" vertical="center"/>
    </xf>
    <xf numFmtId="176" fontId="11" fillId="7" borderId="2" xfId="0" applyNumberFormat="1" applyFont="1" applyFill="1" applyBorder="1" applyAlignment="1">
      <alignment horizontal="right" vertical="center"/>
    </xf>
    <xf numFmtId="176" fontId="10" fillId="7" borderId="2" xfId="0" applyNumberFormat="1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center" vertical="center" wrapText="1"/>
    </xf>
    <xf numFmtId="3" fontId="11" fillId="8" borderId="2" xfId="0" applyNumberFormat="1" applyFont="1" applyFill="1" applyBorder="1" applyAlignment="1">
      <alignment horizontal="right" vertical="center"/>
    </xf>
    <xf numFmtId="176" fontId="11" fillId="8" borderId="2" xfId="0" applyNumberFormat="1" applyFont="1" applyFill="1" applyBorder="1" applyAlignment="1">
      <alignment horizontal="right" vertical="center"/>
    </xf>
    <xf numFmtId="0" fontId="10" fillId="9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right" vertical="center"/>
    </xf>
    <xf numFmtId="0" fontId="11" fillId="9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right" vertical="center"/>
    </xf>
    <xf numFmtId="0" fontId="16" fillId="8" borderId="2" xfId="0" applyFont="1" applyFill="1" applyBorder="1" applyAlignment="1">
      <alignment horizontal="right" vertical="center"/>
    </xf>
    <xf numFmtId="0" fontId="10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right" vertical="center"/>
    </xf>
    <xf numFmtId="0" fontId="15" fillId="0" borderId="0" xfId="0" applyFont="1"/>
    <xf numFmtId="0" fontId="10" fillId="7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right" vertical="center"/>
    </xf>
    <xf numFmtId="0" fontId="22" fillId="11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right" vertical="center"/>
    </xf>
    <xf numFmtId="0" fontId="16" fillId="8" borderId="2" xfId="0" applyFont="1" applyFill="1" applyBorder="1" applyAlignment="1">
      <alignment horizontal="left" vertical="center" wrapText="1"/>
    </xf>
    <xf numFmtId="3" fontId="14" fillId="7" borderId="2" xfId="0" applyNumberFormat="1" applyFont="1" applyFill="1" applyBorder="1" applyAlignment="1">
      <alignment horizontal="right" vertical="center"/>
    </xf>
    <xf numFmtId="3" fontId="16" fillId="5" borderId="2" xfId="0" applyNumberFormat="1" applyFont="1" applyFill="1" applyBorder="1" applyAlignment="1">
      <alignment horizontal="right" vertical="center"/>
    </xf>
    <xf numFmtId="3" fontId="12" fillId="5" borderId="2" xfId="0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left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center" vertical="center" wrapText="1"/>
    </xf>
    <xf numFmtId="177" fontId="11" fillId="5" borderId="2" xfId="0" applyNumberFormat="1" applyFont="1" applyFill="1" applyBorder="1" applyAlignment="1">
      <alignment horizontal="center" vertical="center" wrapText="1"/>
    </xf>
    <xf numFmtId="177" fontId="11" fillId="4" borderId="2" xfId="0" applyNumberFormat="1" applyFont="1" applyFill="1" applyBorder="1" applyAlignment="1">
      <alignment horizontal="center" vertical="center" wrapText="1"/>
    </xf>
    <xf numFmtId="3" fontId="11" fillId="7" borderId="2" xfId="0" applyNumberFormat="1" applyFont="1" applyFill="1" applyBorder="1" applyAlignment="1">
      <alignment horizontal="center" vertical="center" wrapText="1"/>
    </xf>
    <xf numFmtId="177" fontId="11" fillId="7" borderId="2" xfId="0" applyNumberFormat="1" applyFont="1" applyFill="1" applyBorder="1" applyAlignment="1">
      <alignment horizontal="center" vertical="center" wrapText="1"/>
    </xf>
    <xf numFmtId="176" fontId="11" fillId="5" borderId="2" xfId="0" applyNumberFormat="1" applyFont="1" applyFill="1" applyBorder="1" applyAlignment="1">
      <alignment horizontal="center" vertical="center" wrapText="1"/>
    </xf>
    <xf numFmtId="3" fontId="11" fillId="6" borderId="2" xfId="0" applyNumberFormat="1" applyFont="1" applyFill="1" applyBorder="1" applyAlignment="1">
      <alignment horizontal="center" vertical="center" wrapText="1"/>
    </xf>
    <xf numFmtId="176" fontId="11" fillId="6" borderId="2" xfId="0" applyNumberFormat="1" applyFont="1" applyFill="1" applyBorder="1" applyAlignment="1">
      <alignment horizontal="center" vertical="center" wrapText="1"/>
    </xf>
    <xf numFmtId="176" fontId="11" fillId="7" borderId="2" xfId="0" applyNumberFormat="1" applyFont="1" applyFill="1" applyBorder="1" applyAlignment="1">
      <alignment horizontal="center" vertical="center" wrapText="1"/>
    </xf>
    <xf numFmtId="3" fontId="22" fillId="4" borderId="2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177" fontId="11" fillId="6" borderId="2" xfId="0" applyNumberFormat="1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center" vertical="center" wrapText="1"/>
    </xf>
    <xf numFmtId="3" fontId="11" fillId="8" borderId="2" xfId="0" applyNumberFormat="1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3" fontId="14" fillId="11" borderId="2" xfId="0" applyNumberFormat="1" applyFont="1" applyFill="1" applyBorder="1" applyAlignment="1">
      <alignment horizontal="center" vertical="center" wrapText="1"/>
    </xf>
    <xf numFmtId="3" fontId="11" fillId="11" borderId="2" xfId="0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8" fillId="0" borderId="1" xfId="0" applyFont="1" applyBorder="1"/>
    <xf numFmtId="0" fontId="0" fillId="0" borderId="3" xfId="0" applyBorder="1"/>
    <xf numFmtId="0" fontId="11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0" fillId="0" borderId="6" xfId="0" applyBorder="1"/>
    <xf numFmtId="0" fontId="10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10" fillId="0" borderId="0" xfId="0" applyFont="1"/>
    <xf numFmtId="0" fontId="20" fillId="0" borderId="0" xfId="0" applyFont="1" applyAlignment="1">
      <alignment horizontal="left" vertical="center" wrapText="1"/>
    </xf>
    <xf numFmtId="0" fontId="11" fillId="16" borderId="2" xfId="0" applyFont="1" applyFill="1" applyBorder="1" applyAlignment="1">
      <alignment horizontal="left" vertical="center" wrapText="1"/>
    </xf>
    <xf numFmtId="0" fontId="5" fillId="12" borderId="0" xfId="0" applyFont="1" applyFill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5" fillId="14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0" fillId="0" borderId="7" xfId="0" applyBorder="1"/>
    <xf numFmtId="0" fontId="22" fillId="0" borderId="2" xfId="0" applyFont="1" applyBorder="1" applyAlignment="1">
      <alignment horizontal="left" vertical="center" wrapText="1"/>
    </xf>
    <xf numFmtId="0" fontId="29" fillId="9" borderId="2" xfId="0" applyFont="1" applyFill="1" applyBorder="1"/>
    <xf numFmtId="0" fontId="8" fillId="0" borderId="8" xfId="0" applyFont="1" applyBorder="1"/>
    <xf numFmtId="0" fontId="27" fillId="8" borderId="2" xfId="0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4" fillId="2" borderId="0" xfId="0" applyFont="1" applyFill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32" fillId="17" borderId="2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0" fillId="2" borderId="0" xfId="0" applyFont="1" applyFill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/>
    </xf>
    <xf numFmtId="0" fontId="11" fillId="6" borderId="0" xfId="0" applyFont="1" applyFill="1" applyAlignment="1">
      <alignment horizontal="left" vertical="top" wrapText="1"/>
    </xf>
    <xf numFmtId="0" fontId="34" fillId="18" borderId="0" xfId="0" applyFont="1" applyFill="1" applyAlignment="1">
      <alignment horizontal="center" vertical="center" wrapText="1"/>
    </xf>
    <xf numFmtId="0" fontId="34" fillId="12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left" vertical="top" wrapText="1"/>
    </xf>
    <xf numFmtId="0" fontId="2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top" wrapText="1"/>
    </xf>
    <xf numFmtId="0" fontId="10" fillId="6" borderId="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6" fillId="7" borderId="2" xfId="0" applyFont="1" applyFill="1" applyBorder="1" applyAlignment="1">
      <alignment horizontal="left" vertical="top" wrapText="1"/>
    </xf>
    <xf numFmtId="0" fontId="35" fillId="9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A1:G27"/>
  <sheetViews>
    <sheetView topLeftCell="A11" workbookViewId="0">
      <selection activeCell="A28" sqref="A28:XFD30"/>
    </sheetView>
  </sheetViews>
  <sheetFormatPr defaultRowHeight="16.5" x14ac:dyDescent="0.3"/>
  <cols>
    <col min="1" max="1" width="3" customWidth="1"/>
    <col min="2" max="6" width="20" customWidth="1"/>
    <col min="7" max="7" width="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ht="49.5" x14ac:dyDescent="0.3">
      <c r="A2" s="1"/>
      <c r="B2" s="109" t="s">
        <v>0</v>
      </c>
      <c r="C2" s="107"/>
      <c r="D2" s="107"/>
      <c r="E2" s="107"/>
      <c r="F2" s="107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12" t="s">
        <v>1</v>
      </c>
      <c r="C4" s="107"/>
      <c r="D4" s="107"/>
      <c r="E4" s="107"/>
      <c r="F4" s="107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13" t="s">
        <v>2</v>
      </c>
      <c r="C7" s="107"/>
      <c r="D7" s="107"/>
      <c r="E7" s="107"/>
      <c r="F7" s="107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10" t="s">
        <v>3</v>
      </c>
      <c r="C10" s="107"/>
      <c r="D10" s="108" t="s">
        <v>4</v>
      </c>
      <c r="E10" s="107"/>
      <c r="F10" s="107"/>
      <c r="G10" s="1"/>
    </row>
    <row r="11" spans="1:7" x14ac:dyDescent="0.3">
      <c r="A11" s="1"/>
      <c r="B11" s="110" t="s">
        <v>5</v>
      </c>
      <c r="C11" s="107"/>
      <c r="D11" s="108" t="s">
        <v>6</v>
      </c>
      <c r="E11" s="107"/>
      <c r="F11" s="107"/>
      <c r="G11" s="1"/>
    </row>
    <row r="12" spans="1:7" x14ac:dyDescent="0.3">
      <c r="A12" s="1"/>
      <c r="B12" s="110" t="s">
        <v>7</v>
      </c>
      <c r="C12" s="107"/>
      <c r="D12" s="108" t="s">
        <v>8</v>
      </c>
      <c r="E12" s="107"/>
      <c r="F12" s="107"/>
      <c r="G12" s="1"/>
    </row>
    <row r="13" spans="1:7" x14ac:dyDescent="0.3">
      <c r="A13" s="1"/>
      <c r="B13" s="110" t="s">
        <v>9</v>
      </c>
      <c r="C13" s="107"/>
      <c r="D13" s="108" t="s">
        <v>10</v>
      </c>
      <c r="E13" s="107"/>
      <c r="F13" s="107"/>
      <c r="G13" s="1"/>
    </row>
    <row r="14" spans="1:7" x14ac:dyDescent="0.3">
      <c r="A14" s="1"/>
      <c r="B14" s="110" t="s">
        <v>11</v>
      </c>
      <c r="C14" s="107"/>
      <c r="D14" s="108" t="s">
        <v>12</v>
      </c>
      <c r="E14" s="107"/>
      <c r="F14" s="107"/>
      <c r="G14" s="1"/>
    </row>
    <row r="15" spans="1:7" x14ac:dyDescent="0.3">
      <c r="A15" s="1"/>
      <c r="B15" s="110" t="s">
        <v>13</v>
      </c>
      <c r="C15" s="107"/>
      <c r="D15" s="108" t="s">
        <v>14</v>
      </c>
      <c r="E15" s="107"/>
      <c r="F15" s="107"/>
      <c r="G15" s="1"/>
    </row>
    <row r="16" spans="1:7" x14ac:dyDescent="0.3">
      <c r="A16" s="1"/>
      <c r="B16" s="110" t="s">
        <v>15</v>
      </c>
      <c r="C16" s="107"/>
      <c r="D16" s="108" t="s">
        <v>16</v>
      </c>
      <c r="E16" s="107"/>
      <c r="F16" s="107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11" t="s">
        <v>17</v>
      </c>
      <c r="C19" s="107"/>
      <c r="D19" s="107"/>
      <c r="E19" s="107"/>
      <c r="F19" s="107"/>
      <c r="G19" s="1"/>
    </row>
    <row r="20" spans="1:7" x14ac:dyDescent="0.3">
      <c r="A20" s="1"/>
      <c r="B20" s="107"/>
      <c r="C20" s="107"/>
      <c r="D20" s="107"/>
      <c r="E20" s="107"/>
      <c r="F20" s="107"/>
      <c r="G20" s="1"/>
    </row>
    <row r="21" spans="1:7" x14ac:dyDescent="0.3">
      <c r="A21" s="1"/>
      <c r="B21" s="107"/>
      <c r="C21" s="107"/>
      <c r="D21" s="107"/>
      <c r="E21" s="107"/>
      <c r="F21" s="107"/>
      <c r="G21" s="1"/>
    </row>
    <row r="22" spans="1:7" x14ac:dyDescent="0.3">
      <c r="A22" s="1"/>
      <c r="B22" s="107"/>
      <c r="C22" s="107"/>
      <c r="D22" s="107"/>
      <c r="E22" s="107"/>
      <c r="F22" s="107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06" t="s">
        <v>18</v>
      </c>
      <c r="C24" s="107"/>
      <c r="D24" s="107"/>
      <c r="E24" s="107"/>
      <c r="F24" s="107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</sheetData>
  <mergeCells count="19">
    <mergeCell ref="B7:F7"/>
    <mergeCell ref="D14:F14"/>
    <mergeCell ref="B10:C10"/>
    <mergeCell ref="B24:F24"/>
    <mergeCell ref="D16:F16"/>
    <mergeCell ref="D15:F15"/>
    <mergeCell ref="B2:F2"/>
    <mergeCell ref="B11:C11"/>
    <mergeCell ref="B16:C16"/>
    <mergeCell ref="B19:F22"/>
    <mergeCell ref="B4:F4"/>
    <mergeCell ref="B13:C13"/>
    <mergeCell ref="D11:F11"/>
    <mergeCell ref="D10:F10"/>
    <mergeCell ref="B15:C15"/>
    <mergeCell ref="B12:C12"/>
    <mergeCell ref="D13:F13"/>
    <mergeCell ref="B14:C14"/>
    <mergeCell ref="D12:F12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6B"/>
    <pageSetUpPr fitToPage="1"/>
  </sheetPr>
  <dimension ref="A1:K27"/>
  <sheetViews>
    <sheetView workbookViewId="0">
      <selection sqref="A1:K1"/>
    </sheetView>
  </sheetViews>
  <sheetFormatPr defaultRowHeight="16.5" x14ac:dyDescent="0.3"/>
  <cols>
    <col min="1" max="4" width="14" customWidth="1"/>
    <col min="5" max="5" width="12" customWidth="1"/>
    <col min="6" max="8" width="14" customWidth="1"/>
    <col min="9" max="10" width="12" customWidth="1"/>
    <col min="11" max="11" width="14" customWidth="1"/>
  </cols>
  <sheetData>
    <row r="1" spans="1:11" ht="20.25" x14ac:dyDescent="0.35">
      <c r="A1" s="115" t="s">
        <v>19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3" spans="1:1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 x14ac:dyDescent="0.3">
      <c r="A4" s="3">
        <v>2015</v>
      </c>
      <c r="B4" s="4">
        <v>16344</v>
      </c>
      <c r="C4" s="4">
        <v>4227</v>
      </c>
      <c r="D4" s="4">
        <v>4661</v>
      </c>
      <c r="E4" s="4">
        <v>2178</v>
      </c>
      <c r="F4" s="4">
        <v>980</v>
      </c>
      <c r="G4" s="5" t="s">
        <v>31</v>
      </c>
      <c r="H4" s="6"/>
      <c r="I4" s="7"/>
      <c r="J4" s="7">
        <v>0.25865986472681479</v>
      </c>
      <c r="K4" s="7"/>
    </row>
    <row r="5" spans="1:11" x14ac:dyDescent="0.3">
      <c r="A5" s="3">
        <v>2016</v>
      </c>
      <c r="B5" s="4">
        <v>17031</v>
      </c>
      <c r="C5" s="4">
        <v>4804</v>
      </c>
      <c r="D5" s="4">
        <v>4802</v>
      </c>
      <c r="E5" s="4">
        <v>2242</v>
      </c>
      <c r="F5" s="4">
        <v>990</v>
      </c>
      <c r="G5" s="5" t="s">
        <v>32</v>
      </c>
      <c r="H5" s="6"/>
      <c r="I5" s="7"/>
      <c r="J5" s="7">
        <v>0.28212200962295109</v>
      </c>
      <c r="K5" s="7"/>
    </row>
    <row r="6" spans="1:11" x14ac:dyDescent="0.3">
      <c r="A6" s="3">
        <v>2017</v>
      </c>
      <c r="B6" s="4">
        <v>16012</v>
      </c>
      <c r="C6" s="4">
        <v>4600</v>
      </c>
      <c r="D6" s="4">
        <v>4608</v>
      </c>
      <c r="E6" s="4">
        <v>2159</v>
      </c>
      <c r="F6" s="4">
        <v>990</v>
      </c>
      <c r="G6" s="5" t="s">
        <v>33</v>
      </c>
      <c r="H6" s="6"/>
      <c r="I6" s="7"/>
      <c r="J6" s="7">
        <v>0.28732183657649052</v>
      </c>
      <c r="K6" s="7"/>
    </row>
    <row r="7" spans="1:11" x14ac:dyDescent="0.3">
      <c r="A7" s="3">
        <v>2018</v>
      </c>
      <c r="B7" s="4">
        <v>14457</v>
      </c>
      <c r="C7" s="4">
        <v>2924</v>
      </c>
      <c r="D7" s="4">
        <v>3140</v>
      </c>
      <c r="E7" s="4">
        <v>1467</v>
      </c>
      <c r="F7" s="4">
        <v>900</v>
      </c>
      <c r="G7" s="5" t="s">
        <v>34</v>
      </c>
      <c r="H7" s="6"/>
      <c r="I7" s="7"/>
      <c r="J7" s="7">
        <v>0.2023090200751354</v>
      </c>
      <c r="K7" s="7"/>
    </row>
    <row r="8" spans="1:11" x14ac:dyDescent="0.3">
      <c r="A8" s="3">
        <v>2019</v>
      </c>
      <c r="B8" s="4">
        <v>15240</v>
      </c>
      <c r="C8" s="4">
        <v>3397</v>
      </c>
      <c r="D8" s="4">
        <v>3533</v>
      </c>
      <c r="E8" s="4">
        <v>1651</v>
      </c>
      <c r="F8" s="4">
        <v>900</v>
      </c>
      <c r="G8" s="5" t="s">
        <v>35</v>
      </c>
      <c r="H8" s="6"/>
      <c r="I8" s="7"/>
      <c r="J8" s="7">
        <v>0.22295353723229119</v>
      </c>
      <c r="K8" s="7"/>
    </row>
    <row r="9" spans="1:11" x14ac:dyDescent="0.3">
      <c r="A9" s="3">
        <v>2020</v>
      </c>
      <c r="B9" s="8">
        <v>4791</v>
      </c>
      <c r="C9" s="9">
        <v>-2003</v>
      </c>
      <c r="D9" s="9">
        <v>-2913</v>
      </c>
      <c r="E9" s="8">
        <v>-1361</v>
      </c>
      <c r="F9" s="8">
        <v>0</v>
      </c>
      <c r="G9" s="10" t="s">
        <v>36</v>
      </c>
      <c r="H9" s="11" t="s">
        <v>37</v>
      </c>
      <c r="I9" s="7"/>
      <c r="J9" s="7">
        <v>-0.41791400636194592</v>
      </c>
      <c r="K9" s="7"/>
    </row>
    <row r="10" spans="1:11" x14ac:dyDescent="0.3">
      <c r="A10" s="3">
        <v>2021</v>
      </c>
      <c r="B10" s="8">
        <v>7884</v>
      </c>
      <c r="C10" s="9">
        <v>-705</v>
      </c>
      <c r="D10" s="9">
        <v>-111</v>
      </c>
      <c r="E10" s="8">
        <v>-52</v>
      </c>
      <c r="F10" s="8">
        <v>0</v>
      </c>
      <c r="G10" s="10" t="s">
        <v>36</v>
      </c>
      <c r="H10" s="11" t="s">
        <v>38</v>
      </c>
      <c r="I10" s="7"/>
      <c r="J10" s="7">
        <v>-8.9386053491801204E-2</v>
      </c>
      <c r="K10" s="7"/>
    </row>
    <row r="11" spans="1:11" x14ac:dyDescent="0.3">
      <c r="A11" s="3">
        <v>2022</v>
      </c>
      <c r="B11" s="4">
        <v>12725</v>
      </c>
      <c r="C11" s="4">
        <v>1450</v>
      </c>
      <c r="D11" s="4">
        <v>1222</v>
      </c>
      <c r="E11" s="4">
        <v>570</v>
      </c>
      <c r="F11" s="4">
        <v>350</v>
      </c>
      <c r="G11" s="5" t="s">
        <v>39</v>
      </c>
      <c r="H11" s="6" t="s">
        <v>40</v>
      </c>
      <c r="I11" s="7"/>
      <c r="J11" s="7">
        <v>0.11399942598181741</v>
      </c>
      <c r="K11" s="7"/>
    </row>
    <row r="12" spans="1:11" x14ac:dyDescent="0.3">
      <c r="A12" s="3">
        <v>2023</v>
      </c>
      <c r="B12" s="4">
        <v>13927</v>
      </c>
      <c r="C12" s="4">
        <v>2585</v>
      </c>
      <c r="D12" s="4">
        <v>3410</v>
      </c>
      <c r="E12" s="4">
        <v>1681</v>
      </c>
      <c r="F12" s="4">
        <v>930</v>
      </c>
      <c r="G12" s="5" t="s">
        <v>41</v>
      </c>
      <c r="H12" s="6"/>
      <c r="I12" s="7"/>
      <c r="J12" s="7">
        <v>0.18560937323434651</v>
      </c>
      <c r="K12" s="7"/>
    </row>
    <row r="13" spans="1:11" x14ac:dyDescent="0.3">
      <c r="A13" s="3">
        <v>2024</v>
      </c>
      <c r="B13" s="4">
        <v>14268</v>
      </c>
      <c r="C13" s="4">
        <v>2857</v>
      </c>
      <c r="D13" s="4">
        <v>4568</v>
      </c>
      <c r="E13" s="4">
        <v>2257</v>
      </c>
      <c r="F13" s="4">
        <v>1170</v>
      </c>
      <c r="G13" s="5" t="s">
        <v>42</v>
      </c>
      <c r="H13" s="6" t="s">
        <v>43</v>
      </c>
      <c r="I13" s="7"/>
      <c r="J13" s="7">
        <v>0.20029287914782681</v>
      </c>
      <c r="K13" s="7"/>
    </row>
    <row r="15" spans="1:11" x14ac:dyDescent="0.3">
      <c r="A15" s="114" t="s">
        <v>44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</row>
    <row r="17" spans="1:11" ht="20.25" x14ac:dyDescent="0.35">
      <c r="A17" s="115" t="s">
        <v>45</v>
      </c>
      <c r="B17" s="116"/>
      <c r="C17" s="116"/>
      <c r="D17" s="116"/>
      <c r="E17" s="116"/>
      <c r="F17" s="116"/>
      <c r="G17" s="116"/>
      <c r="H17" s="116"/>
      <c r="I17" s="116"/>
      <c r="J17" s="116"/>
      <c r="K17" s="116"/>
    </row>
    <row r="18" spans="1:11" x14ac:dyDescent="0.3">
      <c r="A18" s="2" t="s">
        <v>20</v>
      </c>
      <c r="B18" s="2" t="s">
        <v>46</v>
      </c>
      <c r="C18" s="2" t="s">
        <v>47</v>
      </c>
      <c r="D18" s="2" t="s">
        <v>48</v>
      </c>
    </row>
    <row r="19" spans="1:11" x14ac:dyDescent="0.3">
      <c r="A19" s="3">
        <v>2016</v>
      </c>
      <c r="B19" s="7">
        <v>4.2026303534654953E-2</v>
      </c>
      <c r="C19" s="7">
        <v>0.13654491833767621</v>
      </c>
      <c r="D19" s="7">
        <v>3.034636250190351E-2</v>
      </c>
    </row>
    <row r="20" spans="1:11" x14ac:dyDescent="0.3">
      <c r="A20" s="3">
        <v>2017</v>
      </c>
      <c r="B20" s="7">
        <v>-5.9795906239881333E-2</v>
      </c>
      <c r="C20" s="7">
        <v>-4.2466883966518799E-2</v>
      </c>
      <c r="D20" s="7">
        <v>-4.043946974429169E-2</v>
      </c>
    </row>
    <row r="21" spans="1:11" x14ac:dyDescent="0.3">
      <c r="A21" s="3">
        <v>2018</v>
      </c>
      <c r="B21" s="7">
        <v>-9.7143040353407983E-2</v>
      </c>
      <c r="C21" s="7">
        <v>-0.36428045654131291</v>
      </c>
      <c r="D21" s="7">
        <v>-0.31850345086537218</v>
      </c>
    </row>
    <row r="22" spans="1:11" x14ac:dyDescent="0.3">
      <c r="A22" s="3">
        <v>2019</v>
      </c>
      <c r="B22" s="7">
        <v>5.4138493225555827E-2</v>
      </c>
      <c r="C22" s="7">
        <v>0.1617074993001793</v>
      </c>
      <c r="D22" s="7">
        <v>0.12505252500162631</v>
      </c>
    </row>
    <row r="23" spans="1:11" x14ac:dyDescent="0.3">
      <c r="A23" s="3">
        <v>2020</v>
      </c>
      <c r="B23" s="7">
        <v>-0.68558317943920866</v>
      </c>
      <c r="C23" s="7">
        <v>-1.5893568443870121</v>
      </c>
      <c r="D23" s="7">
        <v>-1.8243962373728191</v>
      </c>
    </row>
    <row r="24" spans="1:11" x14ac:dyDescent="0.3">
      <c r="A24" s="3">
        <v>2021</v>
      </c>
      <c r="B24" s="7">
        <v>0.64539788153843836</v>
      </c>
      <c r="C24" s="7">
        <v>0.64807204157902198</v>
      </c>
      <c r="D24" s="7">
        <v>0.96204469772391776</v>
      </c>
    </row>
    <row r="25" spans="1:11" x14ac:dyDescent="0.3">
      <c r="A25" s="3">
        <v>2022</v>
      </c>
      <c r="B25" s="7">
        <v>0.61401538612247131</v>
      </c>
      <c r="C25" s="7">
        <v>3.0584511828868242</v>
      </c>
      <c r="D25" s="7">
        <v>12.05345513748191</v>
      </c>
    </row>
    <row r="26" spans="1:11" x14ac:dyDescent="0.3">
      <c r="A26" s="3">
        <v>2023</v>
      </c>
      <c r="B26" s="7">
        <v>9.44574707213372E-2</v>
      </c>
      <c r="C26" s="7">
        <v>0.78195252671391524</v>
      </c>
      <c r="D26" s="7">
        <v>1.790846824289934</v>
      </c>
    </row>
    <row r="27" spans="1:11" x14ac:dyDescent="0.3">
      <c r="A27" s="3">
        <v>2024</v>
      </c>
      <c r="B27" s="7">
        <v>2.4500068114164861E-2</v>
      </c>
      <c r="C27" s="7">
        <v>0.1055479836713283</v>
      </c>
      <c r="D27" s="7">
        <v>0.33962919160379268</v>
      </c>
    </row>
  </sheetData>
  <mergeCells count="3">
    <mergeCell ref="A15:K15"/>
    <mergeCell ref="A1:K1"/>
    <mergeCell ref="A17:K17"/>
  </mergeCells>
  <phoneticPr fontId="37" type="noConversion"/>
  <printOptions horizontalCentered="1"/>
  <pageMargins left="0.25" right="0.25" top="0.75" bottom="0.75" header="0.3" footer="0.3"/>
  <pageSetup scale="8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  <pageSetUpPr fitToPage="1"/>
  </sheetPr>
  <dimension ref="A1:G21"/>
  <sheetViews>
    <sheetView workbookViewId="0">
      <selection sqref="A1:G1"/>
    </sheetView>
  </sheetViews>
  <sheetFormatPr defaultRowHeight="16.5" x14ac:dyDescent="0.3"/>
  <cols>
    <col min="1" max="5" width="14" customWidth="1"/>
    <col min="6" max="7" width="16" customWidth="1"/>
  </cols>
  <sheetData>
    <row r="1" spans="1:7" ht="20.25" x14ac:dyDescent="0.35">
      <c r="A1" s="115" t="s">
        <v>49</v>
      </c>
      <c r="B1" s="116"/>
      <c r="C1" s="116"/>
      <c r="D1" s="116"/>
      <c r="E1" s="116"/>
      <c r="F1" s="116"/>
      <c r="G1" s="116"/>
    </row>
    <row r="3" spans="1:7" x14ac:dyDescent="0.3">
      <c r="A3" s="2" t="s">
        <v>50</v>
      </c>
      <c r="B3" s="2" t="s">
        <v>21</v>
      </c>
      <c r="C3" s="2" t="s">
        <v>22</v>
      </c>
      <c r="D3" s="2" t="s">
        <v>23</v>
      </c>
      <c r="E3" s="2" t="s">
        <v>29</v>
      </c>
      <c r="F3" s="2" t="s">
        <v>46</v>
      </c>
      <c r="G3" s="2" t="s">
        <v>47</v>
      </c>
    </row>
    <row r="4" spans="1:7" x14ac:dyDescent="0.3">
      <c r="A4" s="12" t="s">
        <v>51</v>
      </c>
      <c r="B4" s="4">
        <v>367419</v>
      </c>
      <c r="C4" s="4">
        <v>78917</v>
      </c>
      <c r="D4" s="4">
        <v>116972</v>
      </c>
      <c r="E4" s="7">
        <v>0.21478747696771261</v>
      </c>
      <c r="F4" s="7"/>
      <c r="G4" s="7"/>
    </row>
    <row r="5" spans="1:7" x14ac:dyDescent="0.3">
      <c r="A5" s="12" t="s">
        <v>52</v>
      </c>
      <c r="B5" s="4">
        <v>353281</v>
      </c>
      <c r="C5" s="4">
        <v>71129</v>
      </c>
      <c r="D5" s="4">
        <v>113724</v>
      </c>
      <c r="E5" s="7">
        <v>0.2013383114291456</v>
      </c>
      <c r="F5" s="7"/>
      <c r="G5" s="7"/>
    </row>
    <row r="6" spans="1:7" x14ac:dyDescent="0.3">
      <c r="A6" s="12" t="s">
        <v>53</v>
      </c>
      <c r="B6" s="4">
        <v>371735</v>
      </c>
      <c r="C6" s="4">
        <v>74744</v>
      </c>
      <c r="D6" s="4">
        <v>124461</v>
      </c>
      <c r="E6" s="7">
        <v>0.20106796508265301</v>
      </c>
      <c r="F6" s="7"/>
      <c r="G6" s="7"/>
    </row>
    <row r="7" spans="1:7" x14ac:dyDescent="0.3">
      <c r="A7" s="12" t="s">
        <v>54</v>
      </c>
      <c r="B7" s="4">
        <v>334427</v>
      </c>
      <c r="C7" s="4">
        <v>61000</v>
      </c>
      <c r="D7" s="4">
        <v>101738</v>
      </c>
      <c r="E7" s="7">
        <v>0.18240154054547031</v>
      </c>
      <c r="F7" s="7"/>
      <c r="G7" s="7"/>
    </row>
    <row r="8" spans="1:7" x14ac:dyDescent="0.3">
      <c r="A8" s="13" t="s">
        <v>55</v>
      </c>
      <c r="B8" s="14">
        <v>1426862</v>
      </c>
      <c r="C8" s="14">
        <v>285790</v>
      </c>
      <c r="D8" s="14">
        <v>456895</v>
      </c>
      <c r="E8" s="15">
        <v>0.2002926702091723</v>
      </c>
      <c r="F8" s="16"/>
      <c r="G8" s="16"/>
    </row>
    <row r="9" spans="1:7" x14ac:dyDescent="0.3">
      <c r="A9" s="17" t="s">
        <v>56</v>
      </c>
      <c r="B9" s="18">
        <v>365830</v>
      </c>
      <c r="C9" s="18">
        <v>77659</v>
      </c>
      <c r="D9" s="18">
        <v>78021</v>
      </c>
      <c r="E9" s="19">
        <v>0.21228166088073699</v>
      </c>
      <c r="F9" s="19">
        <f t="shared" ref="F9:G12" si="0">(B9-B4)/B4</f>
        <v>-4.3247627368209049E-3</v>
      </c>
      <c r="G9" s="19">
        <f t="shared" si="0"/>
        <v>-1.5940798560512944E-2</v>
      </c>
    </row>
    <row r="10" spans="1:7" x14ac:dyDescent="0.3">
      <c r="A10" s="17" t="s">
        <v>57</v>
      </c>
      <c r="B10" s="18">
        <v>360727</v>
      </c>
      <c r="C10" s="18">
        <v>57874</v>
      </c>
      <c r="D10" s="18">
        <v>60630</v>
      </c>
      <c r="E10" s="19">
        <v>0.16043711726596571</v>
      </c>
      <c r="F10" s="19">
        <f t="shared" si="0"/>
        <v>2.1076706644285993E-2</v>
      </c>
      <c r="G10" s="19">
        <f t="shared" si="0"/>
        <v>-0.18635155843608092</v>
      </c>
    </row>
    <row r="11" spans="1:7" x14ac:dyDescent="0.3">
      <c r="A11" s="17" t="s">
        <v>58</v>
      </c>
      <c r="B11" s="18">
        <v>384147</v>
      </c>
      <c r="C11" s="18">
        <v>72702</v>
      </c>
      <c r="D11" s="18">
        <v>113070</v>
      </c>
      <c r="E11" s="19">
        <v>0.189255675561699</v>
      </c>
      <c r="F11" s="19">
        <f t="shared" si="0"/>
        <v>3.3389376841029231E-2</v>
      </c>
      <c r="G11" s="19">
        <f t="shared" si="0"/>
        <v>-2.7319918655678049E-2</v>
      </c>
    </row>
    <row r="12" spans="1:7" x14ac:dyDescent="0.3">
      <c r="A12" s="17" t="s">
        <v>59</v>
      </c>
      <c r="B12" s="18">
        <v>365446</v>
      </c>
      <c r="C12" s="18">
        <v>29697</v>
      </c>
      <c r="D12" s="18">
        <v>66017</v>
      </c>
      <c r="E12" s="19">
        <v>8.1262347925548511E-2</v>
      </c>
      <c r="F12" s="19">
        <f t="shared" si="0"/>
        <v>9.275267846196629E-2</v>
      </c>
      <c r="G12" s="19">
        <f t="shared" si="0"/>
        <v>-0.51316393442622954</v>
      </c>
    </row>
    <row r="13" spans="1:7" x14ac:dyDescent="0.3">
      <c r="A13" s="13" t="s">
        <v>60</v>
      </c>
      <c r="B13" s="14">
        <v>1476726</v>
      </c>
      <c r="C13" s="14">
        <v>235176</v>
      </c>
      <c r="D13" s="14">
        <v>316516</v>
      </c>
      <c r="E13" s="15">
        <v>0.1592550005891411</v>
      </c>
      <c r="F13" s="16"/>
      <c r="G13" s="16"/>
    </row>
    <row r="16" spans="1:7" ht="20.25" x14ac:dyDescent="0.35">
      <c r="A16" s="115" t="s">
        <v>61</v>
      </c>
      <c r="B16" s="116"/>
      <c r="C16" s="116"/>
      <c r="D16" s="116"/>
      <c r="E16" s="116"/>
      <c r="F16" s="116"/>
      <c r="G16" s="116"/>
    </row>
    <row r="17" spans="1:7" x14ac:dyDescent="0.3">
      <c r="A17" s="117" t="s">
        <v>62</v>
      </c>
      <c r="B17" s="107"/>
      <c r="C17" s="107"/>
      <c r="D17" s="107"/>
      <c r="E17" s="107"/>
      <c r="F17" s="107"/>
      <c r="G17" s="107"/>
    </row>
    <row r="18" spans="1:7" x14ac:dyDescent="0.3">
      <c r="A18" s="117" t="s">
        <v>63</v>
      </c>
      <c r="B18" s="107"/>
      <c r="C18" s="107"/>
      <c r="D18" s="107"/>
      <c r="E18" s="107"/>
      <c r="F18" s="107"/>
      <c r="G18" s="107"/>
    </row>
    <row r="19" spans="1:7" x14ac:dyDescent="0.3">
      <c r="A19" s="117" t="s">
        <v>64</v>
      </c>
      <c r="B19" s="107"/>
      <c r="C19" s="107"/>
      <c r="D19" s="107"/>
      <c r="E19" s="107"/>
      <c r="F19" s="107"/>
      <c r="G19" s="107"/>
    </row>
    <row r="20" spans="1:7" x14ac:dyDescent="0.3">
      <c r="A20" s="117" t="s">
        <v>65</v>
      </c>
      <c r="B20" s="107"/>
      <c r="C20" s="107"/>
      <c r="D20" s="107"/>
      <c r="E20" s="107"/>
      <c r="F20" s="107"/>
      <c r="G20" s="107"/>
    </row>
    <row r="21" spans="1:7" x14ac:dyDescent="0.3">
      <c r="A21" s="117" t="s">
        <v>66</v>
      </c>
      <c r="B21" s="107"/>
      <c r="C21" s="107"/>
      <c r="D21" s="107"/>
      <c r="E21" s="107"/>
      <c r="F21" s="107"/>
      <c r="G21" s="107"/>
    </row>
  </sheetData>
  <mergeCells count="7">
    <mergeCell ref="A1:G1"/>
    <mergeCell ref="A17:G17"/>
    <mergeCell ref="A18:G18"/>
    <mergeCell ref="A21:G21"/>
    <mergeCell ref="A20:G20"/>
    <mergeCell ref="A16:G16"/>
    <mergeCell ref="A19:G19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A843"/>
    <pageSetUpPr fitToPage="1"/>
  </sheetPr>
  <dimension ref="A1:H21"/>
  <sheetViews>
    <sheetView workbookViewId="0">
      <selection activeCell="A17" sqref="A17:XFD18"/>
    </sheetView>
  </sheetViews>
  <sheetFormatPr defaultRowHeight="16.5" x14ac:dyDescent="0.3"/>
  <cols>
    <col min="1" max="1" width="18" customWidth="1"/>
    <col min="2" max="8" width="14" customWidth="1"/>
  </cols>
  <sheetData>
    <row r="1" spans="1:8" ht="20.25" x14ac:dyDescent="0.35">
      <c r="A1" s="115" t="s">
        <v>67</v>
      </c>
      <c r="B1" s="116"/>
      <c r="C1" s="116"/>
      <c r="D1" s="116"/>
      <c r="E1" s="116"/>
      <c r="F1" s="116"/>
      <c r="G1" s="116"/>
      <c r="H1" s="116"/>
    </row>
    <row r="3" spans="1:8" ht="20.25" x14ac:dyDescent="0.35">
      <c r="A3" s="115" t="s">
        <v>68</v>
      </c>
      <c r="B3" s="116"/>
      <c r="C3" s="116"/>
      <c r="D3" s="116"/>
      <c r="E3" s="116"/>
      <c r="F3" s="116"/>
      <c r="G3" s="116"/>
      <c r="H3" s="116"/>
    </row>
    <row r="4" spans="1:8" x14ac:dyDescent="0.3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27</v>
      </c>
    </row>
    <row r="5" spans="1:8" ht="27" x14ac:dyDescent="0.3">
      <c r="A5" s="20" t="s">
        <v>76</v>
      </c>
      <c r="B5" s="6" t="s">
        <v>77</v>
      </c>
      <c r="C5" s="21" t="s">
        <v>78</v>
      </c>
      <c r="D5" s="5" t="s">
        <v>79</v>
      </c>
      <c r="E5" s="6" t="s">
        <v>80</v>
      </c>
      <c r="F5" s="12" t="s">
        <v>81</v>
      </c>
      <c r="G5" s="12" t="s">
        <v>82</v>
      </c>
      <c r="H5" s="22" t="s">
        <v>83</v>
      </c>
    </row>
    <row r="6" spans="1:8" ht="27" x14ac:dyDescent="0.3">
      <c r="A6" s="20" t="s">
        <v>84</v>
      </c>
      <c r="B6" s="6" t="s">
        <v>85</v>
      </c>
      <c r="C6" s="21" t="s">
        <v>86</v>
      </c>
      <c r="D6" s="5" t="s">
        <v>87</v>
      </c>
      <c r="E6" s="6" t="s">
        <v>88</v>
      </c>
      <c r="F6" s="12" t="s">
        <v>89</v>
      </c>
      <c r="G6" s="12" t="s">
        <v>90</v>
      </c>
      <c r="H6" s="22" t="s">
        <v>91</v>
      </c>
    </row>
    <row r="7" spans="1:8" ht="24" x14ac:dyDescent="0.3">
      <c r="A7" s="20" t="s">
        <v>92</v>
      </c>
      <c r="B7" s="6" t="s">
        <v>93</v>
      </c>
      <c r="C7" s="21" t="s">
        <v>86</v>
      </c>
      <c r="D7" s="5" t="s">
        <v>87</v>
      </c>
      <c r="E7" s="6" t="s">
        <v>94</v>
      </c>
      <c r="F7" s="12" t="s">
        <v>95</v>
      </c>
      <c r="G7" s="12" t="s">
        <v>96</v>
      </c>
      <c r="H7" s="22" t="s">
        <v>97</v>
      </c>
    </row>
    <row r="10" spans="1:8" ht="20.25" x14ac:dyDescent="0.35">
      <c r="A10" s="115" t="s">
        <v>98</v>
      </c>
      <c r="B10" s="116"/>
      <c r="C10" s="116"/>
      <c r="D10" s="116"/>
      <c r="E10" s="116"/>
      <c r="F10" s="116"/>
      <c r="G10" s="116"/>
      <c r="H10" s="116"/>
    </row>
    <row r="11" spans="1:8" x14ac:dyDescent="0.3">
      <c r="A11" s="2" t="s">
        <v>99</v>
      </c>
      <c r="B11" s="2" t="s">
        <v>100</v>
      </c>
      <c r="C11" s="2" t="s">
        <v>101</v>
      </c>
      <c r="D11" s="2" t="s">
        <v>102</v>
      </c>
    </row>
    <row r="12" spans="1:8" ht="27" x14ac:dyDescent="0.3">
      <c r="A12" s="20" t="s">
        <v>103</v>
      </c>
      <c r="B12" s="6" t="s">
        <v>104</v>
      </c>
      <c r="C12" s="6" t="s">
        <v>105</v>
      </c>
      <c r="D12" s="23" t="s">
        <v>106</v>
      </c>
    </row>
    <row r="13" spans="1:8" ht="40.5" x14ac:dyDescent="0.3">
      <c r="A13" s="20" t="s">
        <v>107</v>
      </c>
      <c r="B13" s="6" t="s">
        <v>108</v>
      </c>
      <c r="C13" s="6" t="s">
        <v>109</v>
      </c>
      <c r="D13" s="23" t="s">
        <v>110</v>
      </c>
    </row>
    <row r="14" spans="1:8" ht="27" x14ac:dyDescent="0.3">
      <c r="A14" s="20" t="s">
        <v>111</v>
      </c>
      <c r="B14" s="6" t="s">
        <v>112</v>
      </c>
      <c r="C14" s="6" t="s">
        <v>113</v>
      </c>
      <c r="D14" s="23" t="s">
        <v>114</v>
      </c>
    </row>
    <row r="15" spans="1:8" ht="27" x14ac:dyDescent="0.3">
      <c r="A15" s="20" t="s">
        <v>115</v>
      </c>
      <c r="B15" s="6" t="s">
        <v>116</v>
      </c>
      <c r="C15" s="6" t="s">
        <v>117</v>
      </c>
      <c r="D15" s="23" t="s">
        <v>118</v>
      </c>
    </row>
    <row r="16" spans="1:8" ht="27" x14ac:dyDescent="0.3">
      <c r="A16" s="20" t="s">
        <v>119</v>
      </c>
      <c r="B16" s="6" t="s">
        <v>120</v>
      </c>
      <c r="C16" s="6" t="s">
        <v>121</v>
      </c>
      <c r="D16" s="23" t="s">
        <v>122</v>
      </c>
    </row>
    <row r="17" spans="1:8" ht="20.25" x14ac:dyDescent="0.35">
      <c r="A17" s="115" t="s">
        <v>123</v>
      </c>
      <c r="B17" s="116"/>
      <c r="C17" s="116"/>
      <c r="D17" s="116"/>
      <c r="E17" s="116"/>
      <c r="F17" s="116"/>
      <c r="G17" s="116"/>
      <c r="H17" s="116"/>
    </row>
    <row r="18" spans="1:8" x14ac:dyDescent="0.3">
      <c r="A18" s="2" t="s">
        <v>124</v>
      </c>
      <c r="B18" s="2" t="s">
        <v>125</v>
      </c>
      <c r="C18" s="2" t="s">
        <v>126</v>
      </c>
      <c r="D18" s="2" t="s">
        <v>127</v>
      </c>
    </row>
    <row r="19" spans="1:8" ht="27" x14ac:dyDescent="0.3">
      <c r="A19" s="20" t="s">
        <v>128</v>
      </c>
      <c r="B19" s="24" t="s">
        <v>129</v>
      </c>
      <c r="C19" s="6" t="s">
        <v>130</v>
      </c>
      <c r="D19" s="25" t="s">
        <v>131</v>
      </c>
    </row>
    <row r="20" spans="1:8" ht="27" x14ac:dyDescent="0.3">
      <c r="A20" s="20" t="s">
        <v>132</v>
      </c>
      <c r="B20" s="24" t="s">
        <v>133</v>
      </c>
      <c r="C20" s="6" t="s">
        <v>134</v>
      </c>
      <c r="D20" s="25" t="s">
        <v>135</v>
      </c>
    </row>
    <row r="21" spans="1:8" ht="27" x14ac:dyDescent="0.3">
      <c r="A21" s="20" t="s">
        <v>136</v>
      </c>
      <c r="B21" s="24" t="s">
        <v>137</v>
      </c>
      <c r="C21" s="6" t="s">
        <v>138</v>
      </c>
      <c r="D21" s="25" t="s">
        <v>139</v>
      </c>
    </row>
  </sheetData>
  <mergeCells count="4">
    <mergeCell ref="A3:H3"/>
    <mergeCell ref="A17:H17"/>
    <mergeCell ref="A10:H10"/>
    <mergeCell ref="A1:H1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  <pageSetUpPr fitToPage="1"/>
  </sheetPr>
  <dimension ref="A1:F26"/>
  <sheetViews>
    <sheetView workbookViewId="0">
      <selection sqref="A1:F1"/>
    </sheetView>
  </sheetViews>
  <sheetFormatPr defaultRowHeight="16.5" x14ac:dyDescent="0.3"/>
  <cols>
    <col min="1" max="1" width="12" customWidth="1"/>
    <col min="2" max="2" width="14" customWidth="1"/>
    <col min="3" max="3" width="12" customWidth="1"/>
    <col min="4" max="6" width="14" customWidth="1"/>
  </cols>
  <sheetData>
    <row r="1" spans="1:6" ht="20.25" x14ac:dyDescent="0.35">
      <c r="A1" s="115" t="s">
        <v>140</v>
      </c>
      <c r="B1" s="116"/>
      <c r="C1" s="116"/>
      <c r="D1" s="116"/>
      <c r="E1" s="116"/>
      <c r="F1" s="116"/>
    </row>
    <row r="3" spans="1:6" x14ac:dyDescent="0.3">
      <c r="A3" s="2" t="s">
        <v>20</v>
      </c>
      <c r="B3" s="2" t="s">
        <v>141</v>
      </c>
      <c r="C3" s="2" t="s">
        <v>24</v>
      </c>
      <c r="D3" s="2" t="s">
        <v>26</v>
      </c>
      <c r="E3" s="2" t="s">
        <v>142</v>
      </c>
      <c r="F3" s="2" t="s">
        <v>27</v>
      </c>
    </row>
    <row r="4" spans="1:6" x14ac:dyDescent="0.3">
      <c r="A4" s="26">
        <v>2015</v>
      </c>
      <c r="B4" s="27">
        <v>980</v>
      </c>
      <c r="C4" s="5">
        <v>2178</v>
      </c>
      <c r="D4" s="12" t="s">
        <v>31</v>
      </c>
      <c r="E4" s="12" t="s">
        <v>143</v>
      </c>
      <c r="F4" s="28"/>
    </row>
    <row r="5" spans="1:6" x14ac:dyDescent="0.3">
      <c r="A5" s="26">
        <v>2016</v>
      </c>
      <c r="B5" s="27">
        <v>990</v>
      </c>
      <c r="C5" s="5">
        <v>2242</v>
      </c>
      <c r="D5" s="12" t="s">
        <v>32</v>
      </c>
      <c r="E5" s="12" t="s">
        <v>144</v>
      </c>
      <c r="F5" s="28"/>
    </row>
    <row r="6" spans="1:6" x14ac:dyDescent="0.3">
      <c r="A6" s="26">
        <v>2017</v>
      </c>
      <c r="B6" s="27">
        <v>990</v>
      </c>
      <c r="C6" s="5">
        <v>2159</v>
      </c>
      <c r="D6" s="12" t="s">
        <v>33</v>
      </c>
      <c r="E6" s="12" t="s">
        <v>144</v>
      </c>
      <c r="F6" s="28"/>
    </row>
    <row r="7" spans="1:6" x14ac:dyDescent="0.3">
      <c r="A7" s="26">
        <v>2018</v>
      </c>
      <c r="B7" s="27">
        <v>900</v>
      </c>
      <c r="C7" s="5">
        <v>1467</v>
      </c>
      <c r="D7" s="12" t="s">
        <v>34</v>
      </c>
      <c r="E7" s="12" t="s">
        <v>145</v>
      </c>
      <c r="F7" s="28"/>
    </row>
    <row r="8" spans="1:6" x14ac:dyDescent="0.3">
      <c r="A8" s="26">
        <v>2019</v>
      </c>
      <c r="B8" s="27">
        <v>900</v>
      </c>
      <c r="C8" s="5">
        <v>1651</v>
      </c>
      <c r="D8" s="12" t="s">
        <v>35</v>
      </c>
      <c r="E8" s="12" t="s">
        <v>145</v>
      </c>
      <c r="F8" s="28"/>
    </row>
    <row r="9" spans="1:6" x14ac:dyDescent="0.3">
      <c r="A9" s="26">
        <v>2020</v>
      </c>
      <c r="B9" s="29" t="s">
        <v>36</v>
      </c>
      <c r="C9" s="5">
        <v>-1361</v>
      </c>
      <c r="D9" s="12" t="s">
        <v>36</v>
      </c>
      <c r="E9" s="12" t="s">
        <v>36</v>
      </c>
      <c r="F9" s="28" t="s">
        <v>146</v>
      </c>
    </row>
    <row r="10" spans="1:6" x14ac:dyDescent="0.3">
      <c r="A10" s="26">
        <v>2021</v>
      </c>
      <c r="B10" s="29" t="s">
        <v>36</v>
      </c>
      <c r="C10" s="5">
        <v>-52</v>
      </c>
      <c r="D10" s="12" t="s">
        <v>36</v>
      </c>
      <c r="E10" s="12" t="s">
        <v>36</v>
      </c>
      <c r="F10" s="28" t="s">
        <v>146</v>
      </c>
    </row>
    <row r="11" spans="1:6" x14ac:dyDescent="0.3">
      <c r="A11" s="26">
        <v>2022</v>
      </c>
      <c r="B11" s="27">
        <v>350</v>
      </c>
      <c r="C11" s="5">
        <v>570</v>
      </c>
      <c r="D11" s="12" t="s">
        <v>39</v>
      </c>
      <c r="E11" s="12" t="s">
        <v>147</v>
      </c>
      <c r="F11" s="28"/>
    </row>
    <row r="12" spans="1:6" x14ac:dyDescent="0.3">
      <c r="A12" s="26">
        <v>2023</v>
      </c>
      <c r="B12" s="27">
        <v>930</v>
      </c>
      <c r="C12" s="5">
        <v>1681</v>
      </c>
      <c r="D12" s="12" t="s">
        <v>41</v>
      </c>
      <c r="E12" s="12" t="s">
        <v>148</v>
      </c>
      <c r="F12" s="28" t="s">
        <v>149</v>
      </c>
    </row>
    <row r="13" spans="1:6" x14ac:dyDescent="0.3">
      <c r="A13" s="26">
        <v>2024</v>
      </c>
      <c r="B13" s="27">
        <v>1170</v>
      </c>
      <c r="C13" s="5">
        <v>2257</v>
      </c>
      <c r="D13" s="12" t="s">
        <v>42</v>
      </c>
      <c r="E13" s="12" t="s">
        <v>150</v>
      </c>
      <c r="F13" s="28" t="s">
        <v>151</v>
      </c>
    </row>
    <row r="16" spans="1:6" ht="20.25" x14ac:dyDescent="0.35">
      <c r="A16" s="115" t="s">
        <v>152</v>
      </c>
      <c r="B16" s="116"/>
      <c r="C16" s="116"/>
      <c r="D16" s="116"/>
      <c r="E16" s="116"/>
      <c r="F16" s="116"/>
    </row>
    <row r="17" spans="1:6" x14ac:dyDescent="0.3">
      <c r="A17" s="120" t="s">
        <v>153</v>
      </c>
      <c r="B17" s="107"/>
      <c r="C17" s="107"/>
      <c r="D17" s="107"/>
      <c r="E17" s="107"/>
      <c r="F17" s="107"/>
    </row>
    <row r="19" spans="1:6" ht="20.25" x14ac:dyDescent="0.35">
      <c r="A19" s="115" t="s">
        <v>154</v>
      </c>
      <c r="B19" s="116"/>
      <c r="C19" s="116"/>
      <c r="D19" s="116"/>
      <c r="E19" s="116"/>
      <c r="F19" s="116"/>
    </row>
    <row r="20" spans="1:6" ht="27" x14ac:dyDescent="0.3">
      <c r="A20" s="30" t="s">
        <v>155</v>
      </c>
      <c r="B20" s="118" t="s">
        <v>156</v>
      </c>
      <c r="C20" s="119"/>
    </row>
    <row r="21" spans="1:6" x14ac:dyDescent="0.3">
      <c r="A21" s="30" t="s">
        <v>157</v>
      </c>
      <c r="B21" s="118" t="s">
        <v>158</v>
      </c>
      <c r="C21" s="119"/>
    </row>
    <row r="22" spans="1:6" x14ac:dyDescent="0.3">
      <c r="A22" s="30" t="s">
        <v>159</v>
      </c>
      <c r="B22" s="118" t="s">
        <v>160</v>
      </c>
      <c r="C22" s="119"/>
    </row>
    <row r="23" spans="1:6" x14ac:dyDescent="0.3">
      <c r="A23" s="30" t="s">
        <v>5</v>
      </c>
      <c r="B23" s="118" t="s">
        <v>161</v>
      </c>
      <c r="C23" s="119"/>
    </row>
    <row r="24" spans="1:6" x14ac:dyDescent="0.3">
      <c r="A24" s="30" t="s">
        <v>162</v>
      </c>
      <c r="B24" s="118" t="s">
        <v>163</v>
      </c>
      <c r="C24" s="119"/>
    </row>
    <row r="25" spans="1:6" ht="27" x14ac:dyDescent="0.3">
      <c r="A25" s="30" t="s">
        <v>164</v>
      </c>
      <c r="B25" s="118" t="s">
        <v>165</v>
      </c>
      <c r="C25" s="119"/>
    </row>
    <row r="26" spans="1:6" x14ac:dyDescent="0.3">
      <c r="A26" s="30" t="s">
        <v>166</v>
      </c>
      <c r="B26" s="118" t="s">
        <v>167</v>
      </c>
      <c r="C26" s="119"/>
    </row>
  </sheetData>
  <mergeCells count="11">
    <mergeCell ref="A1:F1"/>
    <mergeCell ref="B23:C23"/>
    <mergeCell ref="B22:C22"/>
    <mergeCell ref="A17:F17"/>
    <mergeCell ref="B26:C26"/>
    <mergeCell ref="A16:F16"/>
    <mergeCell ref="B21:C21"/>
    <mergeCell ref="B24:C24"/>
    <mergeCell ref="B25:C25"/>
    <mergeCell ref="A19:F19"/>
    <mergeCell ref="B20:C20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  <pageSetUpPr fitToPage="1"/>
  </sheetPr>
  <dimension ref="A1:D26"/>
  <sheetViews>
    <sheetView workbookViewId="0">
      <selection activeCell="A2" sqref="A2:XFD2"/>
    </sheetView>
  </sheetViews>
  <sheetFormatPr defaultRowHeight="16.5" x14ac:dyDescent="0.3"/>
  <cols>
    <col min="1" max="1" width="18" customWidth="1"/>
    <col min="2" max="2" width="50" customWidth="1"/>
    <col min="3" max="4" width="18" customWidth="1"/>
  </cols>
  <sheetData>
    <row r="1" spans="1:4" ht="20.25" x14ac:dyDescent="0.35">
      <c r="A1" s="115" t="s">
        <v>168</v>
      </c>
      <c r="B1" s="116"/>
      <c r="C1" s="116"/>
      <c r="D1" s="116"/>
    </row>
    <row r="2" spans="1:4" ht="20.25" x14ac:dyDescent="0.35">
      <c r="A2" s="115" t="s">
        <v>169</v>
      </c>
      <c r="B2" s="116"/>
      <c r="C2" s="116"/>
      <c r="D2" s="116"/>
    </row>
    <row r="3" spans="1:4" x14ac:dyDescent="0.3">
      <c r="A3" s="2" t="s">
        <v>170</v>
      </c>
      <c r="B3" s="2" t="s">
        <v>70</v>
      </c>
      <c r="C3" s="2" t="s">
        <v>171</v>
      </c>
      <c r="D3" s="2" t="s">
        <v>27</v>
      </c>
    </row>
    <row r="4" spans="1:4" ht="24" x14ac:dyDescent="0.3">
      <c r="A4" s="20" t="s">
        <v>172</v>
      </c>
      <c r="B4" s="6" t="s">
        <v>173</v>
      </c>
      <c r="C4" s="23" t="s">
        <v>174</v>
      </c>
      <c r="D4" s="22" t="s">
        <v>175</v>
      </c>
    </row>
    <row r="5" spans="1:4" x14ac:dyDescent="0.3">
      <c r="A5" s="20" t="s">
        <v>176</v>
      </c>
      <c r="B5" s="6" t="s">
        <v>177</v>
      </c>
      <c r="C5" s="23" t="s">
        <v>178</v>
      </c>
      <c r="D5" s="22" t="s">
        <v>179</v>
      </c>
    </row>
    <row r="6" spans="1:4" ht="27" x14ac:dyDescent="0.3">
      <c r="A6" s="20" t="s">
        <v>180</v>
      </c>
      <c r="B6" s="6" t="s">
        <v>181</v>
      </c>
      <c r="C6" s="23" t="s">
        <v>182</v>
      </c>
      <c r="D6" s="22"/>
    </row>
    <row r="7" spans="1:4" x14ac:dyDescent="0.3">
      <c r="A7" s="20" t="s">
        <v>183</v>
      </c>
      <c r="B7" s="6" t="s">
        <v>184</v>
      </c>
      <c r="C7" s="23" t="s">
        <v>185</v>
      </c>
      <c r="D7" s="22" t="s">
        <v>186</v>
      </c>
    </row>
    <row r="9" spans="1:4" ht="20.25" x14ac:dyDescent="0.35">
      <c r="A9" s="115" t="s">
        <v>187</v>
      </c>
      <c r="B9" s="116"/>
      <c r="C9" s="116"/>
      <c r="D9" s="116"/>
    </row>
    <row r="10" spans="1:4" x14ac:dyDescent="0.3">
      <c r="A10" s="2" t="s">
        <v>188</v>
      </c>
      <c r="B10" s="2" t="s">
        <v>189</v>
      </c>
      <c r="C10" s="2" t="s">
        <v>190</v>
      </c>
      <c r="D10" s="2" t="s">
        <v>191</v>
      </c>
    </row>
    <row r="11" spans="1:4" x14ac:dyDescent="0.3">
      <c r="A11" s="20" t="s">
        <v>111</v>
      </c>
      <c r="B11" s="6" t="s">
        <v>192</v>
      </c>
      <c r="C11" s="6" t="s">
        <v>193</v>
      </c>
      <c r="D11" s="31" t="s">
        <v>194</v>
      </c>
    </row>
    <row r="12" spans="1:4" ht="27" x14ac:dyDescent="0.3">
      <c r="A12" s="20" t="s">
        <v>119</v>
      </c>
      <c r="B12" s="6" t="s">
        <v>120</v>
      </c>
      <c r="C12" s="6" t="s">
        <v>195</v>
      </c>
      <c r="D12" s="31" t="s">
        <v>196</v>
      </c>
    </row>
    <row r="13" spans="1:4" ht="27" x14ac:dyDescent="0.3">
      <c r="A13" s="20" t="s">
        <v>115</v>
      </c>
      <c r="B13" s="6" t="s">
        <v>197</v>
      </c>
      <c r="C13" s="6" t="s">
        <v>198</v>
      </c>
      <c r="D13" s="6" t="s">
        <v>199</v>
      </c>
    </row>
    <row r="14" spans="1:4" x14ac:dyDescent="0.3">
      <c r="A14" s="20" t="s">
        <v>200</v>
      </c>
      <c r="B14" s="6" t="s">
        <v>201</v>
      </c>
      <c r="C14" s="6" t="s">
        <v>202</v>
      </c>
      <c r="D14" s="6" t="s">
        <v>203</v>
      </c>
    </row>
    <row r="15" spans="1:4" ht="27" x14ac:dyDescent="0.3">
      <c r="A15" s="20" t="s">
        <v>204</v>
      </c>
      <c r="B15" s="6" t="s">
        <v>205</v>
      </c>
      <c r="C15" s="6" t="s">
        <v>206</v>
      </c>
      <c r="D15" s="6" t="s">
        <v>207</v>
      </c>
    </row>
    <row r="16" spans="1:4" x14ac:dyDescent="0.3">
      <c r="A16" s="20" t="s">
        <v>208</v>
      </c>
      <c r="B16" s="6" t="s">
        <v>209</v>
      </c>
      <c r="C16" s="6" t="s">
        <v>210</v>
      </c>
      <c r="D16" s="6" t="s">
        <v>211</v>
      </c>
    </row>
    <row r="18" spans="1:4" ht="20.25" x14ac:dyDescent="0.35">
      <c r="A18" s="115" t="s">
        <v>212</v>
      </c>
      <c r="B18" s="116"/>
      <c r="C18" s="116"/>
      <c r="D18" s="116"/>
    </row>
    <row r="19" spans="1:4" x14ac:dyDescent="0.3">
      <c r="A19" s="2" t="s">
        <v>170</v>
      </c>
      <c r="B19" s="2" t="s">
        <v>70</v>
      </c>
      <c r="C19" s="2" t="s">
        <v>27</v>
      </c>
      <c r="D19" s="2"/>
    </row>
    <row r="20" spans="1:4" x14ac:dyDescent="0.3">
      <c r="A20" s="20" t="s">
        <v>213</v>
      </c>
      <c r="B20" s="6" t="s">
        <v>214</v>
      </c>
      <c r="C20" s="22" t="s">
        <v>215</v>
      </c>
      <c r="D20" s="6"/>
    </row>
    <row r="21" spans="1:4" x14ac:dyDescent="0.3">
      <c r="A21" s="20" t="s">
        <v>216</v>
      </c>
      <c r="B21" s="6" t="s">
        <v>217</v>
      </c>
      <c r="C21" s="22" t="s">
        <v>218</v>
      </c>
      <c r="D21" s="6"/>
    </row>
    <row r="22" spans="1:4" x14ac:dyDescent="0.3">
      <c r="A22" s="20" t="s">
        <v>219</v>
      </c>
      <c r="B22" s="6" t="s">
        <v>220</v>
      </c>
      <c r="C22" s="22" t="s">
        <v>221</v>
      </c>
      <c r="D22" s="6"/>
    </row>
    <row r="23" spans="1:4" x14ac:dyDescent="0.3">
      <c r="A23" s="20" t="s">
        <v>222</v>
      </c>
      <c r="B23" s="6" t="s">
        <v>223</v>
      </c>
      <c r="C23" s="22" t="s">
        <v>224</v>
      </c>
      <c r="D23" s="6"/>
    </row>
    <row r="24" spans="1:4" x14ac:dyDescent="0.3">
      <c r="A24" s="20" t="s">
        <v>225</v>
      </c>
      <c r="B24" s="6" t="s">
        <v>226</v>
      </c>
      <c r="C24" s="22" t="s">
        <v>227</v>
      </c>
      <c r="D24" s="6"/>
    </row>
    <row r="26" spans="1:4" x14ac:dyDescent="0.3">
      <c r="A26" s="121" t="s">
        <v>228</v>
      </c>
      <c r="B26" s="107"/>
      <c r="C26" s="107"/>
      <c r="D26" s="107"/>
    </row>
  </sheetData>
  <mergeCells count="5">
    <mergeCell ref="A1:D1"/>
    <mergeCell ref="A26:D26"/>
    <mergeCell ref="A2:D2"/>
    <mergeCell ref="A18:D18"/>
    <mergeCell ref="A9:D9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  <pageSetUpPr fitToPage="1"/>
  </sheetPr>
  <dimension ref="A1:F18"/>
  <sheetViews>
    <sheetView workbookViewId="0">
      <selection sqref="A1:F2"/>
    </sheetView>
  </sheetViews>
  <sheetFormatPr defaultRowHeight="16.5" x14ac:dyDescent="0.3"/>
  <cols>
    <col min="1" max="1" width="22" customWidth="1"/>
    <col min="2" max="5" width="18" customWidth="1"/>
    <col min="6" max="6" width="22" customWidth="1"/>
  </cols>
  <sheetData>
    <row r="1" spans="1:6" x14ac:dyDescent="0.3">
      <c r="A1" s="122" t="s">
        <v>229</v>
      </c>
      <c r="B1" s="107"/>
      <c r="C1" s="107"/>
      <c r="D1" s="107"/>
      <c r="E1" s="107"/>
      <c r="F1" s="107"/>
    </row>
    <row r="2" spans="1:6" x14ac:dyDescent="0.3">
      <c r="A2" s="107"/>
      <c r="B2" s="107"/>
      <c r="C2" s="107"/>
      <c r="D2" s="107"/>
      <c r="E2" s="107"/>
      <c r="F2" s="107"/>
    </row>
    <row r="4" spans="1:6" x14ac:dyDescent="0.3">
      <c r="A4" s="32" t="s">
        <v>230</v>
      </c>
      <c r="B4" s="33" t="s">
        <v>231</v>
      </c>
      <c r="C4" s="32" t="s">
        <v>232</v>
      </c>
      <c r="D4" s="33" t="s">
        <v>156</v>
      </c>
      <c r="E4" s="32" t="s">
        <v>5</v>
      </c>
      <c r="F4" s="33" t="s">
        <v>161</v>
      </c>
    </row>
    <row r="5" spans="1:6" x14ac:dyDescent="0.3">
      <c r="A5" s="32" t="s">
        <v>233</v>
      </c>
      <c r="B5" s="33" t="s">
        <v>234</v>
      </c>
      <c r="C5" s="32" t="s">
        <v>235</v>
      </c>
      <c r="D5" s="33" t="s">
        <v>236</v>
      </c>
      <c r="E5" s="32" t="s">
        <v>237</v>
      </c>
      <c r="F5" s="33" t="s">
        <v>238</v>
      </c>
    </row>
    <row r="6" spans="1:6" x14ac:dyDescent="0.3">
      <c r="A6" s="32" t="s">
        <v>239</v>
      </c>
      <c r="B6" s="33" t="s">
        <v>240</v>
      </c>
      <c r="C6" s="32" t="s">
        <v>241</v>
      </c>
      <c r="D6" s="33" t="s">
        <v>242</v>
      </c>
      <c r="E6" s="32" t="s">
        <v>28</v>
      </c>
      <c r="F6" s="33" t="s">
        <v>243</v>
      </c>
    </row>
    <row r="8" spans="1:6" ht="20.25" x14ac:dyDescent="0.35">
      <c r="A8" s="115" t="s">
        <v>244</v>
      </c>
      <c r="B8" s="116"/>
      <c r="C8" s="116"/>
      <c r="D8" s="116"/>
      <c r="E8" s="116"/>
      <c r="F8" s="116"/>
    </row>
    <row r="9" spans="1:6" x14ac:dyDescent="0.3">
      <c r="A9" s="2" t="s">
        <v>245</v>
      </c>
      <c r="B9" s="2" t="s">
        <v>246</v>
      </c>
      <c r="C9" s="2" t="s">
        <v>247</v>
      </c>
      <c r="D9" s="2" t="s">
        <v>248</v>
      </c>
      <c r="E9" s="2" t="s">
        <v>249</v>
      </c>
      <c r="F9" s="2" t="s">
        <v>27</v>
      </c>
    </row>
    <row r="10" spans="1:6" x14ac:dyDescent="0.3">
      <c r="A10" s="20" t="s">
        <v>250</v>
      </c>
      <c r="B10" s="6" t="s">
        <v>251</v>
      </c>
      <c r="C10" s="21" t="s">
        <v>252</v>
      </c>
      <c r="D10" s="34" t="s">
        <v>253</v>
      </c>
      <c r="E10" s="35" t="s">
        <v>254</v>
      </c>
      <c r="F10" s="28" t="s">
        <v>255</v>
      </c>
    </row>
    <row r="11" spans="1:6" x14ac:dyDescent="0.3">
      <c r="A11" s="20" t="s">
        <v>256</v>
      </c>
      <c r="B11" s="6" t="s">
        <v>257</v>
      </c>
      <c r="C11" s="21" t="s">
        <v>258</v>
      </c>
      <c r="D11" s="13" t="s">
        <v>259</v>
      </c>
      <c r="E11" s="35" t="s">
        <v>254</v>
      </c>
      <c r="F11" s="28" t="s">
        <v>260</v>
      </c>
    </row>
    <row r="12" spans="1:6" x14ac:dyDescent="0.3">
      <c r="A12" s="20" t="s">
        <v>261</v>
      </c>
      <c r="B12" s="6" t="s">
        <v>262</v>
      </c>
      <c r="C12" s="21" t="s">
        <v>263</v>
      </c>
      <c r="D12" s="13" t="s">
        <v>264</v>
      </c>
      <c r="E12" s="35" t="s">
        <v>265</v>
      </c>
      <c r="F12" s="28" t="s">
        <v>266</v>
      </c>
    </row>
    <row r="13" spans="1:6" ht="27" x14ac:dyDescent="0.3">
      <c r="A13" s="20" t="s">
        <v>267</v>
      </c>
      <c r="B13" s="6" t="s">
        <v>268</v>
      </c>
      <c r="C13" s="21" t="s">
        <v>269</v>
      </c>
      <c r="D13" s="34" t="s">
        <v>253</v>
      </c>
      <c r="E13" s="35" t="s">
        <v>270</v>
      </c>
      <c r="F13" s="28" t="s">
        <v>271</v>
      </c>
    </row>
    <row r="14" spans="1:6" x14ac:dyDescent="0.3">
      <c r="A14" s="20" t="s">
        <v>272</v>
      </c>
      <c r="B14" s="6" t="s">
        <v>273</v>
      </c>
      <c r="C14" s="21" t="s">
        <v>274</v>
      </c>
      <c r="D14" s="13" t="s">
        <v>264</v>
      </c>
      <c r="E14" s="35" t="s">
        <v>275</v>
      </c>
      <c r="F14" s="28" t="s">
        <v>276</v>
      </c>
    </row>
    <row r="15" spans="1:6" x14ac:dyDescent="0.3">
      <c r="A15" s="20" t="s">
        <v>142</v>
      </c>
      <c r="B15" s="6" t="s">
        <v>277</v>
      </c>
      <c r="C15" s="21" t="s">
        <v>278</v>
      </c>
      <c r="D15" s="36" t="s">
        <v>279</v>
      </c>
      <c r="E15" s="35" t="s">
        <v>280</v>
      </c>
      <c r="F15" s="28" t="s">
        <v>281</v>
      </c>
    </row>
    <row r="16" spans="1:6" x14ac:dyDescent="0.3">
      <c r="A16" s="20" t="s">
        <v>282</v>
      </c>
      <c r="B16" s="6" t="s">
        <v>283</v>
      </c>
      <c r="C16" s="21" t="s">
        <v>284</v>
      </c>
      <c r="D16" s="34" t="s">
        <v>285</v>
      </c>
      <c r="E16" s="35" t="s">
        <v>286</v>
      </c>
      <c r="F16" s="28"/>
    </row>
    <row r="17" spans="1:6" x14ac:dyDescent="0.3">
      <c r="A17" s="20" t="s">
        <v>30</v>
      </c>
      <c r="B17" s="6" t="s">
        <v>287</v>
      </c>
      <c r="C17" s="21" t="s">
        <v>242</v>
      </c>
      <c r="D17" s="34" t="s">
        <v>285</v>
      </c>
      <c r="E17" s="35" t="s">
        <v>288</v>
      </c>
      <c r="F17" s="28" t="s">
        <v>289</v>
      </c>
    </row>
    <row r="18" spans="1:6" x14ac:dyDescent="0.3">
      <c r="A18" s="20" t="s">
        <v>290</v>
      </c>
      <c r="B18" s="6" t="s">
        <v>291</v>
      </c>
      <c r="C18" s="21" t="s">
        <v>292</v>
      </c>
      <c r="D18" s="34" t="s">
        <v>285</v>
      </c>
      <c r="E18" s="35" t="s">
        <v>36</v>
      </c>
      <c r="F18" s="28" t="s">
        <v>293</v>
      </c>
    </row>
  </sheetData>
  <mergeCells count="2">
    <mergeCell ref="A8:F8"/>
    <mergeCell ref="A1:F2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980B9"/>
    <pageSetUpPr fitToPage="1"/>
  </sheetPr>
  <dimension ref="A1:F28"/>
  <sheetViews>
    <sheetView workbookViewId="0">
      <selection sqref="A1:F1"/>
    </sheetView>
  </sheetViews>
  <sheetFormatPr defaultRowHeight="16.5" x14ac:dyDescent="0.3"/>
  <cols>
    <col min="1" max="1" width="24" customWidth="1"/>
    <col min="2" max="5" width="16" customWidth="1"/>
    <col min="6" max="6" width="20" customWidth="1"/>
  </cols>
  <sheetData>
    <row r="1" spans="1:6" ht="20.25" x14ac:dyDescent="0.35">
      <c r="A1" s="115" t="s">
        <v>294</v>
      </c>
      <c r="B1" s="116"/>
      <c r="C1" s="116"/>
      <c r="D1" s="116"/>
      <c r="E1" s="116"/>
      <c r="F1" s="116"/>
    </row>
    <row r="2" spans="1:6" ht="20.25" x14ac:dyDescent="0.35">
      <c r="A2" s="115" t="s">
        <v>295</v>
      </c>
      <c r="B2" s="116"/>
      <c r="C2" s="116"/>
      <c r="D2" s="116"/>
      <c r="E2" s="116"/>
      <c r="F2" s="116"/>
    </row>
    <row r="3" spans="1:6" x14ac:dyDescent="0.3">
      <c r="A3" s="2" t="s">
        <v>246</v>
      </c>
      <c r="B3" s="2" t="s">
        <v>296</v>
      </c>
      <c r="C3" s="2" t="s">
        <v>24</v>
      </c>
      <c r="D3" s="2" t="s">
        <v>297</v>
      </c>
      <c r="E3" s="2" t="s">
        <v>298</v>
      </c>
      <c r="F3" s="2" t="s">
        <v>27</v>
      </c>
    </row>
    <row r="4" spans="1:6" x14ac:dyDescent="0.3">
      <c r="A4" s="20" t="s">
        <v>299</v>
      </c>
      <c r="B4" s="5">
        <v>4568</v>
      </c>
      <c r="C4" s="24" t="s">
        <v>300</v>
      </c>
      <c r="D4" s="36" t="s">
        <v>301</v>
      </c>
      <c r="E4" s="6" t="s">
        <v>302</v>
      </c>
      <c r="F4" s="22" t="s">
        <v>303</v>
      </c>
    </row>
    <row r="5" spans="1:6" x14ac:dyDescent="0.3">
      <c r="A5" s="20" t="s">
        <v>304</v>
      </c>
      <c r="B5" s="5">
        <v>3165</v>
      </c>
      <c r="C5" s="24" t="s">
        <v>305</v>
      </c>
      <c r="D5" s="37" t="s">
        <v>306</v>
      </c>
      <c r="E5" s="6" t="s">
        <v>307</v>
      </c>
      <c r="F5" s="22" t="s">
        <v>308</v>
      </c>
    </row>
    <row r="6" spans="1:6" x14ac:dyDescent="0.3">
      <c r="A6" s="20" t="s">
        <v>309</v>
      </c>
      <c r="B6" s="5">
        <v>3867</v>
      </c>
      <c r="C6" s="24" t="s">
        <v>310</v>
      </c>
      <c r="D6" s="36" t="s">
        <v>311</v>
      </c>
      <c r="E6" s="6" t="s">
        <v>312</v>
      </c>
      <c r="F6" s="22" t="s">
        <v>313</v>
      </c>
    </row>
    <row r="7" spans="1:6" x14ac:dyDescent="0.3">
      <c r="A7" s="20" t="s">
        <v>314</v>
      </c>
      <c r="B7" s="5">
        <v>3091</v>
      </c>
      <c r="C7" s="24" t="s">
        <v>315</v>
      </c>
      <c r="D7" s="13" t="s">
        <v>316</v>
      </c>
      <c r="E7" s="6" t="s">
        <v>317</v>
      </c>
      <c r="F7" s="22" t="s">
        <v>318</v>
      </c>
    </row>
    <row r="9" spans="1:6" ht="20.25" x14ac:dyDescent="0.35">
      <c r="A9" s="115" t="s">
        <v>319</v>
      </c>
      <c r="B9" s="116"/>
      <c r="C9" s="116"/>
      <c r="D9" s="116"/>
      <c r="E9" s="116"/>
      <c r="F9" s="116"/>
    </row>
    <row r="10" spans="1:6" x14ac:dyDescent="0.3">
      <c r="A10" s="2" t="s">
        <v>50</v>
      </c>
      <c r="B10" s="2" t="s">
        <v>21</v>
      </c>
      <c r="C10" s="2" t="s">
        <v>22</v>
      </c>
      <c r="D10" s="2" t="s">
        <v>320</v>
      </c>
      <c r="E10" s="2" t="s">
        <v>23</v>
      </c>
      <c r="F10" s="2" t="s">
        <v>321</v>
      </c>
    </row>
    <row r="11" spans="1:6" x14ac:dyDescent="0.3">
      <c r="A11" s="38" t="s">
        <v>51</v>
      </c>
      <c r="B11" s="5" t="s">
        <v>322</v>
      </c>
      <c r="C11" s="5" t="s">
        <v>323</v>
      </c>
      <c r="D11" s="39" t="s">
        <v>324</v>
      </c>
      <c r="E11" s="5" t="s">
        <v>325</v>
      </c>
      <c r="F11" s="26"/>
    </row>
    <row r="12" spans="1:6" x14ac:dyDescent="0.3">
      <c r="A12" s="38" t="s">
        <v>52</v>
      </c>
      <c r="B12" s="5" t="s">
        <v>326</v>
      </c>
      <c r="C12" s="5" t="s">
        <v>327</v>
      </c>
      <c r="D12" s="39" t="s">
        <v>328</v>
      </c>
      <c r="E12" s="5" t="s">
        <v>329</v>
      </c>
      <c r="F12" s="26"/>
    </row>
    <row r="13" spans="1:6" x14ac:dyDescent="0.3">
      <c r="A13" s="38" t="s">
        <v>53</v>
      </c>
      <c r="B13" s="5" t="s">
        <v>330</v>
      </c>
      <c r="C13" s="5" t="s">
        <v>331</v>
      </c>
      <c r="D13" s="39" t="s">
        <v>328</v>
      </c>
      <c r="E13" s="5" t="s">
        <v>332</v>
      </c>
      <c r="F13" s="26"/>
    </row>
    <row r="14" spans="1:6" x14ac:dyDescent="0.3">
      <c r="A14" s="38" t="s">
        <v>54</v>
      </c>
      <c r="B14" s="5" t="s">
        <v>333</v>
      </c>
      <c r="C14" s="5" t="s">
        <v>334</v>
      </c>
      <c r="D14" s="39" t="s">
        <v>335</v>
      </c>
      <c r="E14" s="5" t="s">
        <v>336</v>
      </c>
      <c r="F14" s="26"/>
    </row>
    <row r="15" spans="1:6" x14ac:dyDescent="0.3">
      <c r="A15" s="40" t="s">
        <v>56</v>
      </c>
      <c r="B15" s="41" t="s">
        <v>337</v>
      </c>
      <c r="C15" s="41" t="s">
        <v>338</v>
      </c>
      <c r="D15" s="36" t="s">
        <v>339</v>
      </c>
      <c r="E15" s="41" t="s">
        <v>340</v>
      </c>
      <c r="F15" s="42" t="s">
        <v>341</v>
      </c>
    </row>
    <row r="16" spans="1:6" x14ac:dyDescent="0.3">
      <c r="A16" s="40" t="s">
        <v>57</v>
      </c>
      <c r="B16" s="41" t="s">
        <v>342</v>
      </c>
      <c r="C16" s="41" t="s">
        <v>343</v>
      </c>
      <c r="D16" s="36" t="s">
        <v>344</v>
      </c>
      <c r="E16" s="41" t="s">
        <v>345</v>
      </c>
      <c r="F16" s="42" t="s">
        <v>346</v>
      </c>
    </row>
    <row r="17" spans="1:6" x14ac:dyDescent="0.3">
      <c r="A17" s="40" t="s">
        <v>58</v>
      </c>
      <c r="B17" s="41" t="s">
        <v>347</v>
      </c>
      <c r="C17" s="41" t="s">
        <v>348</v>
      </c>
      <c r="D17" s="36" t="s">
        <v>349</v>
      </c>
      <c r="E17" s="41" t="s">
        <v>350</v>
      </c>
      <c r="F17" s="42" t="s">
        <v>351</v>
      </c>
    </row>
    <row r="18" spans="1:6" x14ac:dyDescent="0.3">
      <c r="A18" s="40" t="s">
        <v>59</v>
      </c>
      <c r="B18" s="41" t="s">
        <v>352</v>
      </c>
      <c r="C18" s="41" t="s">
        <v>353</v>
      </c>
      <c r="D18" s="43" t="s">
        <v>354</v>
      </c>
      <c r="E18" s="41" t="s">
        <v>355</v>
      </c>
      <c r="F18" s="42" t="s">
        <v>356</v>
      </c>
    </row>
    <row r="19" spans="1:6" x14ac:dyDescent="0.3">
      <c r="A19" s="13" t="s">
        <v>357</v>
      </c>
      <c r="B19" s="44" t="s">
        <v>358</v>
      </c>
      <c r="C19" s="44" t="s">
        <v>359</v>
      </c>
      <c r="D19" s="13" t="s">
        <v>360</v>
      </c>
      <c r="E19" s="44" t="s">
        <v>361</v>
      </c>
      <c r="F19" s="13"/>
    </row>
    <row r="21" spans="1:6" ht="20.25" x14ac:dyDescent="0.35">
      <c r="A21" s="115" t="s">
        <v>362</v>
      </c>
      <c r="B21" s="116"/>
      <c r="C21" s="116"/>
      <c r="D21" s="116"/>
      <c r="E21" s="116"/>
      <c r="F21" s="116"/>
    </row>
    <row r="22" spans="1:6" x14ac:dyDescent="0.3">
      <c r="A22" s="2" t="s">
        <v>363</v>
      </c>
      <c r="B22" s="2" t="s">
        <v>24</v>
      </c>
      <c r="C22" s="2" t="s">
        <v>364</v>
      </c>
      <c r="D22" s="2" t="s">
        <v>365</v>
      </c>
      <c r="E22" s="2" t="s">
        <v>366</v>
      </c>
      <c r="F22" s="2" t="s">
        <v>367</v>
      </c>
    </row>
    <row r="23" spans="1:6" x14ac:dyDescent="0.3">
      <c r="A23" s="20" t="s">
        <v>299</v>
      </c>
      <c r="B23" s="24" t="s">
        <v>300</v>
      </c>
      <c r="C23" s="5" t="s">
        <v>368</v>
      </c>
      <c r="D23" s="41" t="s">
        <v>369</v>
      </c>
      <c r="E23" s="45" t="s">
        <v>370</v>
      </c>
      <c r="F23" s="45" t="s">
        <v>371</v>
      </c>
    </row>
    <row r="24" spans="1:6" x14ac:dyDescent="0.3">
      <c r="A24" s="20" t="s">
        <v>372</v>
      </c>
      <c r="B24" s="24" t="s">
        <v>305</v>
      </c>
      <c r="C24" s="5" t="s">
        <v>373</v>
      </c>
      <c r="D24" s="5" t="s">
        <v>374</v>
      </c>
      <c r="E24" s="45" t="s">
        <v>375</v>
      </c>
      <c r="F24" s="45" t="s">
        <v>376</v>
      </c>
    </row>
    <row r="25" spans="1:6" x14ac:dyDescent="0.3">
      <c r="A25" s="20" t="s">
        <v>312</v>
      </c>
      <c r="B25" s="24" t="s">
        <v>310</v>
      </c>
      <c r="C25" s="5" t="s">
        <v>377</v>
      </c>
      <c r="D25" s="41" t="s">
        <v>378</v>
      </c>
      <c r="E25" s="45" t="s">
        <v>379</v>
      </c>
      <c r="F25" s="45" t="s">
        <v>380</v>
      </c>
    </row>
    <row r="26" spans="1:6" x14ac:dyDescent="0.3">
      <c r="A26" s="20" t="s">
        <v>381</v>
      </c>
      <c r="B26" s="24" t="s">
        <v>315</v>
      </c>
      <c r="C26" s="5" t="s">
        <v>382</v>
      </c>
      <c r="D26" s="5" t="s">
        <v>383</v>
      </c>
      <c r="E26" s="45" t="s">
        <v>384</v>
      </c>
      <c r="F26" s="45" t="s">
        <v>385</v>
      </c>
    </row>
    <row r="28" spans="1:6" x14ac:dyDescent="0.3">
      <c r="A28" s="123" t="s">
        <v>386</v>
      </c>
      <c r="B28" s="107"/>
      <c r="C28" s="107"/>
      <c r="D28" s="107"/>
      <c r="E28" s="107"/>
      <c r="F28" s="107"/>
    </row>
  </sheetData>
  <mergeCells count="5">
    <mergeCell ref="A2:F2"/>
    <mergeCell ref="A28:F28"/>
    <mergeCell ref="A1:F1"/>
    <mergeCell ref="A9:F9"/>
    <mergeCell ref="A21:F21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44AD"/>
    <pageSetUpPr fitToPage="1"/>
  </sheetPr>
  <dimension ref="A1:F26"/>
  <sheetViews>
    <sheetView workbookViewId="0">
      <selection sqref="A1:F1"/>
    </sheetView>
  </sheetViews>
  <sheetFormatPr defaultRowHeight="16.5" x14ac:dyDescent="0.3"/>
  <cols>
    <col min="1" max="1" width="20" customWidth="1"/>
    <col min="2" max="5" width="16" customWidth="1"/>
    <col min="6" max="6" width="22" customWidth="1"/>
  </cols>
  <sheetData>
    <row r="1" spans="1:6" ht="20.25" x14ac:dyDescent="0.35">
      <c r="A1" s="115" t="s">
        <v>387</v>
      </c>
      <c r="B1" s="116"/>
      <c r="C1" s="116"/>
      <c r="D1" s="116"/>
      <c r="E1" s="116"/>
      <c r="F1" s="116"/>
    </row>
    <row r="2" spans="1:6" ht="20.25" x14ac:dyDescent="0.35">
      <c r="A2" s="115" t="s">
        <v>388</v>
      </c>
      <c r="B2" s="116"/>
      <c r="C2" s="116"/>
      <c r="D2" s="116"/>
      <c r="E2" s="116"/>
      <c r="F2" s="116"/>
    </row>
    <row r="3" spans="1:6" x14ac:dyDescent="0.3">
      <c r="A3" s="2" t="s">
        <v>20</v>
      </c>
      <c r="B3" s="2" t="s">
        <v>389</v>
      </c>
      <c r="C3" s="2" t="s">
        <v>390</v>
      </c>
      <c r="D3" s="2" t="s">
        <v>30</v>
      </c>
      <c r="E3" s="2" t="s">
        <v>24</v>
      </c>
      <c r="F3" s="2" t="s">
        <v>296</v>
      </c>
    </row>
    <row r="4" spans="1:6" x14ac:dyDescent="0.3">
      <c r="A4" s="38" t="s">
        <v>391</v>
      </c>
      <c r="B4" s="5">
        <v>33260</v>
      </c>
      <c r="C4" s="24" t="s">
        <v>392</v>
      </c>
      <c r="D4" s="39" t="s">
        <v>393</v>
      </c>
      <c r="E4" s="5" t="s">
        <v>394</v>
      </c>
      <c r="F4" s="5">
        <v>3533</v>
      </c>
    </row>
    <row r="5" spans="1:6" x14ac:dyDescent="0.3">
      <c r="A5" s="46" t="s">
        <v>395</v>
      </c>
      <c r="B5" s="10">
        <v>30350</v>
      </c>
      <c r="C5" s="24" t="s">
        <v>396</v>
      </c>
      <c r="D5" s="47" t="s">
        <v>351</v>
      </c>
      <c r="E5" s="10" t="s">
        <v>397</v>
      </c>
      <c r="F5" s="48">
        <v>-2912</v>
      </c>
    </row>
    <row r="6" spans="1:6" x14ac:dyDescent="0.3">
      <c r="A6" s="46" t="s">
        <v>398</v>
      </c>
      <c r="B6" s="10">
        <v>30240</v>
      </c>
      <c r="C6" s="24" t="s">
        <v>399</v>
      </c>
      <c r="D6" s="47" t="s">
        <v>400</v>
      </c>
      <c r="E6" s="10" t="s">
        <v>401</v>
      </c>
      <c r="F6" s="48">
        <v>-110</v>
      </c>
    </row>
    <row r="7" spans="1:6" x14ac:dyDescent="0.3">
      <c r="A7" s="38" t="s">
        <v>402</v>
      </c>
      <c r="B7" s="5">
        <v>33120</v>
      </c>
      <c r="C7" s="24" t="s">
        <v>403</v>
      </c>
      <c r="D7" s="12" t="s">
        <v>404</v>
      </c>
      <c r="E7" s="5" t="s">
        <v>405</v>
      </c>
      <c r="F7" s="5">
        <v>1222</v>
      </c>
    </row>
    <row r="8" spans="1:6" x14ac:dyDescent="0.3">
      <c r="A8" s="38" t="s">
        <v>406</v>
      </c>
      <c r="B8" s="5">
        <v>36779</v>
      </c>
      <c r="C8" s="24" t="s">
        <v>407</v>
      </c>
      <c r="D8" s="12" t="s">
        <v>408</v>
      </c>
      <c r="E8" s="5" t="s">
        <v>409</v>
      </c>
      <c r="F8" s="5">
        <v>3410</v>
      </c>
    </row>
    <row r="9" spans="1:6" x14ac:dyDescent="0.3">
      <c r="A9" s="38" t="s">
        <v>410</v>
      </c>
      <c r="B9" s="5">
        <v>38836</v>
      </c>
      <c r="C9" s="24" t="s">
        <v>411</v>
      </c>
      <c r="D9" s="39" t="s">
        <v>242</v>
      </c>
      <c r="E9" s="5" t="s">
        <v>300</v>
      </c>
      <c r="F9" s="5">
        <v>4568</v>
      </c>
    </row>
    <row r="11" spans="1:6" ht="20.25" x14ac:dyDescent="0.35">
      <c r="A11" s="115" t="s">
        <v>412</v>
      </c>
      <c r="B11" s="116"/>
      <c r="C11" s="116"/>
      <c r="D11" s="116"/>
      <c r="E11" s="116"/>
      <c r="F11" s="116"/>
    </row>
    <row r="12" spans="1:6" x14ac:dyDescent="0.3">
      <c r="A12" s="20" t="s">
        <v>413</v>
      </c>
      <c r="B12" s="21" t="s">
        <v>414</v>
      </c>
    </row>
    <row r="13" spans="1:6" x14ac:dyDescent="0.3">
      <c r="A13" s="20" t="s">
        <v>415</v>
      </c>
      <c r="B13" s="21" t="s">
        <v>416</v>
      </c>
    </row>
    <row r="14" spans="1:6" x14ac:dyDescent="0.3">
      <c r="A14" s="20" t="s">
        <v>417</v>
      </c>
      <c r="B14" s="21" t="s">
        <v>236</v>
      </c>
    </row>
    <row r="15" spans="1:6" x14ac:dyDescent="0.3">
      <c r="A15" s="20" t="s">
        <v>418</v>
      </c>
      <c r="B15" s="21" t="s">
        <v>419</v>
      </c>
    </row>
    <row r="16" spans="1:6" x14ac:dyDescent="0.3">
      <c r="A16" s="20" t="s">
        <v>420</v>
      </c>
      <c r="B16" s="21" t="s">
        <v>421</v>
      </c>
    </row>
    <row r="18" spans="1:6" ht="20.25" x14ac:dyDescent="0.35">
      <c r="A18" s="115" t="s">
        <v>422</v>
      </c>
      <c r="B18" s="116"/>
      <c r="C18" s="116"/>
      <c r="D18" s="116"/>
      <c r="E18" s="116"/>
      <c r="F18" s="116"/>
    </row>
    <row r="19" spans="1:6" x14ac:dyDescent="0.3">
      <c r="A19" s="49" t="s">
        <v>423</v>
      </c>
    </row>
    <row r="20" spans="1:6" x14ac:dyDescent="0.3">
      <c r="A20" s="2" t="s">
        <v>424</v>
      </c>
      <c r="B20" s="2" t="s">
        <v>425</v>
      </c>
      <c r="C20" s="2" t="s">
        <v>426</v>
      </c>
      <c r="D20" s="2" t="s">
        <v>427</v>
      </c>
      <c r="E20" s="2" t="s">
        <v>428</v>
      </c>
      <c r="F20" s="2" t="s">
        <v>429</v>
      </c>
    </row>
    <row r="21" spans="1:6" x14ac:dyDescent="0.3">
      <c r="A21" s="20" t="s">
        <v>430</v>
      </c>
      <c r="B21" s="12" t="s">
        <v>431</v>
      </c>
      <c r="C21" s="12" t="s">
        <v>432</v>
      </c>
      <c r="D21" s="12" t="s">
        <v>433</v>
      </c>
      <c r="E21" s="24" t="s">
        <v>434</v>
      </c>
      <c r="F21" s="47" t="s">
        <v>435</v>
      </c>
    </row>
    <row r="22" spans="1:6" x14ac:dyDescent="0.3">
      <c r="A22" s="20" t="s">
        <v>436</v>
      </c>
      <c r="B22" s="12" t="s">
        <v>242</v>
      </c>
      <c r="C22" s="12" t="s">
        <v>432</v>
      </c>
      <c r="D22" s="12" t="s">
        <v>437</v>
      </c>
      <c r="E22" s="24" t="s">
        <v>438</v>
      </c>
      <c r="F22" s="36" t="s">
        <v>439</v>
      </c>
    </row>
    <row r="23" spans="1:6" x14ac:dyDescent="0.3">
      <c r="A23" s="20" t="s">
        <v>440</v>
      </c>
      <c r="B23" s="12" t="s">
        <v>441</v>
      </c>
      <c r="C23" s="12" t="s">
        <v>432</v>
      </c>
      <c r="D23" s="12" t="s">
        <v>442</v>
      </c>
      <c r="E23" s="24" t="s">
        <v>443</v>
      </c>
      <c r="F23" s="36" t="s">
        <v>444</v>
      </c>
    </row>
    <row r="24" spans="1:6" x14ac:dyDescent="0.3">
      <c r="A24" s="20" t="s">
        <v>445</v>
      </c>
      <c r="B24" s="12" t="s">
        <v>446</v>
      </c>
      <c r="C24" s="12" t="s">
        <v>432</v>
      </c>
      <c r="D24" s="12" t="s">
        <v>442</v>
      </c>
      <c r="E24" s="24" t="s">
        <v>447</v>
      </c>
      <c r="F24" s="36" t="s">
        <v>448</v>
      </c>
    </row>
    <row r="26" spans="1:6" x14ac:dyDescent="0.3">
      <c r="A26" s="123" t="s">
        <v>449</v>
      </c>
      <c r="B26" s="107"/>
      <c r="C26" s="107"/>
      <c r="D26" s="107"/>
      <c r="E26" s="107"/>
      <c r="F26" s="107"/>
    </row>
  </sheetData>
  <mergeCells count="5">
    <mergeCell ref="A2:F2"/>
    <mergeCell ref="A11:F11"/>
    <mergeCell ref="A1:F1"/>
    <mergeCell ref="A18:F18"/>
    <mergeCell ref="A26:F26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  <pageSetUpPr fitToPage="1"/>
  </sheetPr>
  <dimension ref="A1:E29"/>
  <sheetViews>
    <sheetView workbookViewId="0">
      <selection activeCell="C21" sqref="C21"/>
    </sheetView>
  </sheetViews>
  <sheetFormatPr defaultRowHeight="16.5" x14ac:dyDescent="0.3"/>
  <cols>
    <col min="1" max="1" width="24" customWidth="1"/>
    <col min="2" max="2" width="18" customWidth="1"/>
    <col min="3" max="3" width="22.75" customWidth="1"/>
    <col min="4" max="4" width="18" customWidth="1"/>
    <col min="5" max="5" width="14.75" customWidth="1"/>
  </cols>
  <sheetData>
    <row r="1" spans="1:5" ht="20.25" x14ac:dyDescent="0.35">
      <c r="A1" s="115" t="s">
        <v>450</v>
      </c>
      <c r="B1" s="116"/>
      <c r="C1" s="116"/>
      <c r="D1" s="116"/>
      <c r="E1" s="116"/>
    </row>
    <row r="2" spans="1:5" ht="20.25" x14ac:dyDescent="0.35">
      <c r="A2" s="115" t="s">
        <v>451</v>
      </c>
      <c r="B2" s="116"/>
      <c r="C2" s="116"/>
      <c r="D2" s="116"/>
      <c r="E2" s="116"/>
    </row>
    <row r="3" spans="1:5" x14ac:dyDescent="0.3">
      <c r="A3" s="2" t="s">
        <v>170</v>
      </c>
      <c r="B3" s="2" t="s">
        <v>452</v>
      </c>
      <c r="C3" s="2" t="s">
        <v>27</v>
      </c>
      <c r="D3" s="2"/>
      <c r="E3" s="2"/>
    </row>
    <row r="4" spans="1:5" ht="15" customHeight="1" x14ac:dyDescent="0.3">
      <c r="A4" s="30" t="s">
        <v>5</v>
      </c>
      <c r="B4" s="5" t="s">
        <v>453</v>
      </c>
      <c r="C4" s="28" t="s">
        <v>454</v>
      </c>
      <c r="D4" s="6"/>
      <c r="E4" s="6"/>
    </row>
    <row r="5" spans="1:5" ht="15" customHeight="1" x14ac:dyDescent="0.3">
      <c r="A5" s="30" t="s">
        <v>455</v>
      </c>
      <c r="B5" s="5" t="s">
        <v>456</v>
      </c>
      <c r="C5" s="28" t="s">
        <v>457</v>
      </c>
      <c r="D5" s="6"/>
      <c r="E5" s="6"/>
    </row>
    <row r="6" spans="1:5" ht="15" customHeight="1" x14ac:dyDescent="0.3">
      <c r="A6" s="30" t="s">
        <v>458</v>
      </c>
      <c r="B6" s="5" t="s">
        <v>459</v>
      </c>
      <c r="C6" s="28" t="s">
        <v>460</v>
      </c>
      <c r="D6" s="6"/>
      <c r="E6" s="6"/>
    </row>
    <row r="7" spans="1:5" ht="15" customHeight="1" x14ac:dyDescent="0.3">
      <c r="A7" s="50" t="s">
        <v>461</v>
      </c>
      <c r="B7" s="24" t="s">
        <v>462</v>
      </c>
      <c r="C7" s="28" t="s">
        <v>463</v>
      </c>
      <c r="D7" s="6"/>
      <c r="E7" s="6"/>
    </row>
    <row r="8" spans="1:5" ht="15" customHeight="1" x14ac:dyDescent="0.3">
      <c r="A8" s="50" t="s">
        <v>464</v>
      </c>
      <c r="B8" s="24" t="s">
        <v>465</v>
      </c>
      <c r="C8" s="28" t="s">
        <v>466</v>
      </c>
      <c r="D8" s="6"/>
      <c r="E8" s="6"/>
    </row>
    <row r="9" spans="1:5" x14ac:dyDescent="0.3">
      <c r="A9" s="124" t="s">
        <v>467</v>
      </c>
      <c r="B9" s="107"/>
      <c r="C9" s="107"/>
      <c r="D9" s="107"/>
      <c r="E9" s="107"/>
    </row>
    <row r="10" spans="1:5" ht="20.25" x14ac:dyDescent="0.35">
      <c r="A10" s="115" t="s">
        <v>468</v>
      </c>
      <c r="B10" s="116"/>
      <c r="C10" s="116"/>
      <c r="D10" s="116"/>
      <c r="E10" s="116"/>
    </row>
    <row r="11" spans="1:5" x14ac:dyDescent="0.3">
      <c r="A11" s="2" t="s">
        <v>170</v>
      </c>
      <c r="B11" s="2" t="s">
        <v>469</v>
      </c>
      <c r="C11" s="2" t="s">
        <v>27</v>
      </c>
      <c r="D11" s="2"/>
      <c r="E11" s="2"/>
    </row>
    <row r="12" spans="1:5" x14ac:dyDescent="0.3">
      <c r="A12" s="30" t="s">
        <v>22</v>
      </c>
      <c r="B12" s="5" t="s">
        <v>470</v>
      </c>
      <c r="C12" s="28"/>
      <c r="D12" s="6"/>
      <c r="E12" s="6"/>
    </row>
    <row r="13" spans="1:5" x14ac:dyDescent="0.3">
      <c r="A13" s="30" t="s">
        <v>471</v>
      </c>
      <c r="B13" s="5" t="s">
        <v>472</v>
      </c>
      <c r="C13" s="28" t="s">
        <v>473</v>
      </c>
      <c r="D13" s="6"/>
      <c r="E13" s="6"/>
    </row>
    <row r="14" spans="1:5" x14ac:dyDescent="0.3">
      <c r="A14" s="50" t="s">
        <v>474</v>
      </c>
      <c r="B14" s="24" t="s">
        <v>475</v>
      </c>
      <c r="C14" s="28" t="s">
        <v>476</v>
      </c>
      <c r="D14" s="6"/>
      <c r="E14" s="6"/>
    </row>
    <row r="15" spans="1:5" ht="20.25" x14ac:dyDescent="0.35">
      <c r="A15" s="115" t="s">
        <v>477</v>
      </c>
      <c r="B15" s="116"/>
      <c r="C15" s="116"/>
      <c r="D15" s="116"/>
      <c r="E15" s="116"/>
    </row>
    <row r="16" spans="1:5" x14ac:dyDescent="0.3">
      <c r="A16" s="2" t="s">
        <v>363</v>
      </c>
      <c r="B16" s="2" t="s">
        <v>478</v>
      </c>
      <c r="C16" s="2" t="s">
        <v>479</v>
      </c>
      <c r="D16" s="2" t="s">
        <v>480</v>
      </c>
      <c r="E16" s="2" t="s">
        <v>481</v>
      </c>
    </row>
    <row r="17" spans="1:5" x14ac:dyDescent="0.3">
      <c r="A17" s="20" t="s">
        <v>299</v>
      </c>
      <c r="B17" s="5" t="s">
        <v>475</v>
      </c>
      <c r="C17" s="21" t="s">
        <v>269</v>
      </c>
      <c r="D17" s="5" t="s">
        <v>482</v>
      </c>
      <c r="E17" s="45" t="s">
        <v>483</v>
      </c>
    </row>
    <row r="18" spans="1:5" x14ac:dyDescent="0.3">
      <c r="A18" s="20" t="s">
        <v>484</v>
      </c>
      <c r="B18" s="5" t="s">
        <v>485</v>
      </c>
      <c r="C18" s="21" t="s">
        <v>486</v>
      </c>
      <c r="D18" s="5" t="s">
        <v>487</v>
      </c>
      <c r="E18" s="45" t="s">
        <v>488</v>
      </c>
    </row>
    <row r="19" spans="1:5" ht="20.25" x14ac:dyDescent="0.35">
      <c r="A19" s="115" t="s">
        <v>489</v>
      </c>
      <c r="B19" s="116"/>
      <c r="C19" s="116"/>
      <c r="D19" s="116"/>
      <c r="E19" s="116"/>
    </row>
    <row r="20" spans="1:5" ht="15" customHeight="1" x14ac:dyDescent="0.3">
      <c r="A20" s="2" t="s">
        <v>170</v>
      </c>
      <c r="B20" s="2" t="s">
        <v>469</v>
      </c>
      <c r="C20" s="2" t="s">
        <v>27</v>
      </c>
      <c r="D20" s="2"/>
      <c r="E20" s="2"/>
    </row>
    <row r="21" spans="1:5" ht="15" customHeight="1" x14ac:dyDescent="0.3">
      <c r="A21" s="30" t="s">
        <v>490</v>
      </c>
      <c r="B21" s="5" t="s">
        <v>491</v>
      </c>
      <c r="C21" s="28"/>
      <c r="D21" s="6"/>
      <c r="E21" s="6"/>
    </row>
    <row r="22" spans="1:5" ht="15" customHeight="1" x14ac:dyDescent="0.3">
      <c r="A22" s="30" t="s">
        <v>492</v>
      </c>
      <c r="B22" s="5" t="s">
        <v>493</v>
      </c>
      <c r="C22" s="28" t="s">
        <v>494</v>
      </c>
      <c r="D22" s="6"/>
      <c r="E22" s="6"/>
    </row>
    <row r="23" spans="1:5" ht="15" customHeight="1" x14ac:dyDescent="0.3">
      <c r="A23" s="50" t="s">
        <v>495</v>
      </c>
      <c r="B23" s="24" t="s">
        <v>496</v>
      </c>
      <c r="C23" s="28"/>
      <c r="D23" s="6"/>
      <c r="E23" s="6"/>
    </row>
    <row r="24" spans="1:5" ht="15" customHeight="1" x14ac:dyDescent="0.3">
      <c r="A24" s="30" t="s">
        <v>497</v>
      </c>
      <c r="B24" s="5" t="s">
        <v>498</v>
      </c>
      <c r="C24" s="28"/>
      <c r="D24" s="6"/>
      <c r="E24" s="6"/>
    </row>
    <row r="25" spans="1:5" ht="15" customHeight="1" x14ac:dyDescent="0.3">
      <c r="A25" s="50" t="s">
        <v>282</v>
      </c>
      <c r="B25" s="24" t="s">
        <v>284</v>
      </c>
      <c r="C25" s="28"/>
      <c r="D25" s="6"/>
      <c r="E25" s="6"/>
    </row>
    <row r="26" spans="1:5" ht="15" customHeight="1" x14ac:dyDescent="0.3">
      <c r="A26" s="30" t="s">
        <v>499</v>
      </c>
      <c r="B26" s="5" t="s">
        <v>500</v>
      </c>
      <c r="C26" s="28" t="s">
        <v>501</v>
      </c>
      <c r="D26" s="6"/>
      <c r="E26" s="6"/>
    </row>
    <row r="27" spans="1:5" ht="15" customHeight="1" x14ac:dyDescent="0.3">
      <c r="A27" s="30" t="s">
        <v>502</v>
      </c>
      <c r="B27" s="5" t="s">
        <v>503</v>
      </c>
      <c r="C27" s="28"/>
      <c r="D27" s="6"/>
      <c r="E27" s="6"/>
    </row>
    <row r="28" spans="1:5" ht="15" customHeight="1" x14ac:dyDescent="0.3">
      <c r="A28" s="50" t="s">
        <v>504</v>
      </c>
      <c r="B28" s="24" t="s">
        <v>505</v>
      </c>
      <c r="C28" s="28"/>
      <c r="D28" s="6"/>
      <c r="E28" s="6"/>
    </row>
    <row r="29" spans="1:5" ht="15" customHeight="1" x14ac:dyDescent="0.3">
      <c r="A29" s="123" t="s">
        <v>506</v>
      </c>
      <c r="B29" s="107"/>
      <c r="C29" s="107"/>
      <c r="D29" s="107"/>
      <c r="E29" s="107"/>
    </row>
  </sheetData>
  <mergeCells count="7">
    <mergeCell ref="A10:E10"/>
    <mergeCell ref="A29:E29"/>
    <mergeCell ref="A2:E2"/>
    <mergeCell ref="A9:E9"/>
    <mergeCell ref="A1:E1"/>
    <mergeCell ref="A19:E19"/>
    <mergeCell ref="A15:E15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CC71"/>
    <pageSetUpPr fitToPage="1"/>
  </sheetPr>
  <dimension ref="A1:E39"/>
  <sheetViews>
    <sheetView topLeftCell="A16" workbookViewId="0">
      <selection activeCell="A29" sqref="A29:XFD29"/>
    </sheetView>
  </sheetViews>
  <sheetFormatPr defaultRowHeight="16.5" x14ac:dyDescent="0.3"/>
  <cols>
    <col min="1" max="1" width="22" customWidth="1"/>
    <col min="2" max="4" width="18" customWidth="1"/>
    <col min="5" max="5" width="22" customWidth="1"/>
  </cols>
  <sheetData>
    <row r="1" spans="1:5" ht="20.25" x14ac:dyDescent="0.35">
      <c r="A1" s="115" t="s">
        <v>507</v>
      </c>
      <c r="B1" s="116"/>
      <c r="C1" s="116"/>
      <c r="D1" s="116"/>
      <c r="E1" s="116"/>
    </row>
    <row r="2" spans="1:5" ht="20.25" x14ac:dyDescent="0.35">
      <c r="A2" s="115" t="s">
        <v>508</v>
      </c>
      <c r="B2" s="116"/>
      <c r="C2" s="116"/>
      <c r="D2" s="116"/>
      <c r="E2" s="116"/>
    </row>
    <row r="3" spans="1:5" x14ac:dyDescent="0.3">
      <c r="A3" s="2" t="s">
        <v>509</v>
      </c>
      <c r="B3" s="2" t="s">
        <v>510</v>
      </c>
      <c r="C3" s="2" t="s">
        <v>511</v>
      </c>
      <c r="D3" s="2" t="s">
        <v>512</v>
      </c>
      <c r="E3" s="2" t="s">
        <v>513</v>
      </c>
    </row>
    <row r="4" spans="1:5" x14ac:dyDescent="0.3">
      <c r="A4" s="20" t="s">
        <v>514</v>
      </c>
      <c r="B4" s="10" t="s">
        <v>368</v>
      </c>
      <c r="C4" s="24" t="s">
        <v>370</v>
      </c>
      <c r="D4" s="45" t="s">
        <v>371</v>
      </c>
      <c r="E4" s="28" t="s">
        <v>515</v>
      </c>
    </row>
    <row r="5" spans="1:5" x14ac:dyDescent="0.3">
      <c r="A5" s="20" t="s">
        <v>516</v>
      </c>
      <c r="B5" s="10" t="s">
        <v>416</v>
      </c>
      <c r="C5" s="24" t="s">
        <v>236</v>
      </c>
      <c r="D5" s="45" t="s">
        <v>421</v>
      </c>
      <c r="E5" s="28" t="s">
        <v>517</v>
      </c>
    </row>
    <row r="6" spans="1:5" x14ac:dyDescent="0.3">
      <c r="A6" s="20" t="s">
        <v>267</v>
      </c>
      <c r="B6" s="10" t="s">
        <v>518</v>
      </c>
      <c r="C6" s="24" t="s">
        <v>483</v>
      </c>
      <c r="D6" s="45" t="s">
        <v>519</v>
      </c>
      <c r="E6" s="28" t="s">
        <v>520</v>
      </c>
    </row>
    <row r="7" spans="1:5" x14ac:dyDescent="0.3">
      <c r="A7" s="20" t="s">
        <v>521</v>
      </c>
      <c r="B7" s="10" t="s">
        <v>434</v>
      </c>
      <c r="C7" s="24" t="s">
        <v>438</v>
      </c>
      <c r="D7" s="45" t="s">
        <v>443</v>
      </c>
      <c r="E7" s="28" t="s">
        <v>522</v>
      </c>
    </row>
    <row r="8" spans="1:5" x14ac:dyDescent="0.3">
      <c r="A8" s="20" t="s">
        <v>523</v>
      </c>
      <c r="B8" s="10" t="s">
        <v>524</v>
      </c>
      <c r="C8" s="24" t="s">
        <v>525</v>
      </c>
      <c r="D8" s="45" t="s">
        <v>526</v>
      </c>
      <c r="E8" s="28" t="s">
        <v>527</v>
      </c>
    </row>
    <row r="10" spans="1:5" ht="20.25" x14ac:dyDescent="0.35">
      <c r="A10" s="115" t="s">
        <v>528</v>
      </c>
      <c r="B10" s="116"/>
      <c r="C10" s="116"/>
      <c r="D10" s="116"/>
      <c r="E10" s="116"/>
    </row>
    <row r="11" spans="1:5" x14ac:dyDescent="0.3">
      <c r="A11" s="51" t="s">
        <v>424</v>
      </c>
      <c r="B11" s="51" t="s">
        <v>529</v>
      </c>
      <c r="C11" s="51" t="s">
        <v>429</v>
      </c>
      <c r="D11" s="51" t="s">
        <v>530</v>
      </c>
      <c r="E11" s="51" t="s">
        <v>531</v>
      </c>
    </row>
    <row r="12" spans="1:5" ht="40.5" x14ac:dyDescent="0.3">
      <c r="A12" s="42" t="s">
        <v>532</v>
      </c>
      <c r="B12" s="52" t="s">
        <v>371</v>
      </c>
      <c r="C12" s="36" t="s">
        <v>533</v>
      </c>
      <c r="D12" s="25" t="s">
        <v>534</v>
      </c>
      <c r="E12" s="17" t="s">
        <v>535</v>
      </c>
    </row>
    <row r="13" spans="1:5" ht="27" x14ac:dyDescent="0.3">
      <c r="A13" s="13" t="s">
        <v>536</v>
      </c>
      <c r="B13" s="53" t="s">
        <v>370</v>
      </c>
      <c r="C13" s="21" t="s">
        <v>537</v>
      </c>
      <c r="D13" s="54" t="s">
        <v>538</v>
      </c>
      <c r="E13" s="55" t="s">
        <v>539</v>
      </c>
    </row>
    <row r="14" spans="1:5" ht="40.5" x14ac:dyDescent="0.3">
      <c r="A14" s="46" t="s">
        <v>540</v>
      </c>
      <c r="B14" s="56" t="s">
        <v>373</v>
      </c>
      <c r="C14" s="47" t="s">
        <v>541</v>
      </c>
      <c r="D14" s="11" t="s">
        <v>542</v>
      </c>
      <c r="E14" s="57" t="s">
        <v>543</v>
      </c>
    </row>
    <row r="16" spans="1:5" ht="51.75" x14ac:dyDescent="0.3">
      <c r="A16" s="58" t="s">
        <v>544</v>
      </c>
      <c r="B16" s="59" t="s">
        <v>545</v>
      </c>
      <c r="C16" s="58" t="s">
        <v>546</v>
      </c>
      <c r="D16" s="60" t="s">
        <v>547</v>
      </c>
      <c r="E16" s="58"/>
    </row>
    <row r="18" spans="1:5" ht="20.25" x14ac:dyDescent="0.35">
      <c r="A18" s="115" t="s">
        <v>548</v>
      </c>
      <c r="B18" s="116"/>
      <c r="C18" s="116"/>
      <c r="D18" s="116"/>
      <c r="E18" s="116"/>
    </row>
    <row r="19" spans="1:5" x14ac:dyDescent="0.3">
      <c r="A19" s="2" t="s">
        <v>424</v>
      </c>
      <c r="B19" s="2" t="s">
        <v>425</v>
      </c>
      <c r="C19" s="2" t="s">
        <v>428</v>
      </c>
      <c r="D19" s="2" t="s">
        <v>429</v>
      </c>
      <c r="E19" s="2" t="s">
        <v>549</v>
      </c>
    </row>
    <row r="20" spans="1:5" x14ac:dyDescent="0.3">
      <c r="A20" s="20" t="s">
        <v>550</v>
      </c>
      <c r="B20" s="12" t="s">
        <v>431</v>
      </c>
      <c r="C20" s="24" t="s">
        <v>551</v>
      </c>
      <c r="D20" s="47" t="s">
        <v>552</v>
      </c>
      <c r="E20" s="6" t="s">
        <v>553</v>
      </c>
    </row>
    <row r="21" spans="1:5" x14ac:dyDescent="0.3">
      <c r="A21" s="20" t="s">
        <v>511</v>
      </c>
      <c r="B21" s="12" t="s">
        <v>242</v>
      </c>
      <c r="C21" s="24" t="s">
        <v>438</v>
      </c>
      <c r="D21" s="36" t="s">
        <v>439</v>
      </c>
      <c r="E21" s="6" t="s">
        <v>554</v>
      </c>
    </row>
    <row r="22" spans="1:5" x14ac:dyDescent="0.3">
      <c r="A22" s="20" t="s">
        <v>555</v>
      </c>
      <c r="B22" s="12" t="s">
        <v>441</v>
      </c>
      <c r="C22" s="24" t="s">
        <v>556</v>
      </c>
      <c r="D22" s="36" t="s">
        <v>557</v>
      </c>
      <c r="E22" s="6" t="s">
        <v>558</v>
      </c>
    </row>
    <row r="23" spans="1:5" x14ac:dyDescent="0.3">
      <c r="A23" s="20" t="s">
        <v>559</v>
      </c>
      <c r="B23" s="12" t="s">
        <v>446</v>
      </c>
      <c r="C23" s="24" t="s">
        <v>560</v>
      </c>
      <c r="D23" s="36" t="s">
        <v>561</v>
      </c>
      <c r="E23" s="6" t="s">
        <v>562</v>
      </c>
    </row>
    <row r="26" spans="1:5" ht="20.25" x14ac:dyDescent="0.35">
      <c r="A26" s="115" t="s">
        <v>563</v>
      </c>
      <c r="B26" s="116"/>
      <c r="C26" s="116"/>
      <c r="D26" s="116"/>
      <c r="E26" s="116"/>
    </row>
    <row r="27" spans="1:5" x14ac:dyDescent="0.3">
      <c r="A27" s="132" t="s">
        <v>564</v>
      </c>
      <c r="B27" s="107"/>
      <c r="C27" s="126" t="s">
        <v>565</v>
      </c>
      <c r="D27" s="107"/>
    </row>
    <row r="28" spans="1:5" x14ac:dyDescent="0.3">
      <c r="A28" s="128" t="s">
        <v>566</v>
      </c>
      <c r="B28" s="119"/>
      <c r="C28" s="129" t="s">
        <v>567</v>
      </c>
      <c r="D28" s="119"/>
    </row>
    <row r="29" spans="1:5" ht="30.75" customHeight="1" x14ac:dyDescent="0.3">
      <c r="A29" s="128" t="s">
        <v>568</v>
      </c>
      <c r="B29" s="119"/>
      <c r="C29" s="129" t="s">
        <v>569</v>
      </c>
      <c r="D29" s="119"/>
    </row>
    <row r="30" spans="1:5" x14ac:dyDescent="0.3">
      <c r="A30" s="128" t="s">
        <v>570</v>
      </c>
      <c r="B30" s="119"/>
      <c r="C30" s="129" t="s">
        <v>571</v>
      </c>
      <c r="D30" s="119"/>
    </row>
    <row r="31" spans="1:5" x14ac:dyDescent="0.3">
      <c r="A31" s="128" t="s">
        <v>572</v>
      </c>
      <c r="B31" s="119"/>
      <c r="C31" s="129" t="s">
        <v>573</v>
      </c>
      <c r="D31" s="119"/>
    </row>
    <row r="32" spans="1:5" ht="27.75" customHeight="1" x14ac:dyDescent="0.3">
      <c r="A32" s="128" t="s">
        <v>574</v>
      </c>
      <c r="B32" s="119"/>
      <c r="C32" s="129" t="s">
        <v>575</v>
      </c>
      <c r="D32" s="119"/>
    </row>
    <row r="34" spans="1:4" x14ac:dyDescent="0.3">
      <c r="A34" s="130" t="s">
        <v>576</v>
      </c>
      <c r="B34" s="107"/>
      <c r="C34" s="131" t="s">
        <v>577</v>
      </c>
      <c r="D34" s="107"/>
    </row>
    <row r="35" spans="1:4" x14ac:dyDescent="0.3">
      <c r="A35" s="127" t="s">
        <v>578</v>
      </c>
      <c r="B35" s="119"/>
      <c r="C35" s="125" t="s">
        <v>579</v>
      </c>
      <c r="D35" s="119"/>
    </row>
    <row r="36" spans="1:4" x14ac:dyDescent="0.3">
      <c r="A36" s="127" t="s">
        <v>580</v>
      </c>
      <c r="B36" s="119"/>
      <c r="C36" s="125" t="s">
        <v>581</v>
      </c>
      <c r="D36" s="119"/>
    </row>
    <row r="37" spans="1:4" x14ac:dyDescent="0.3">
      <c r="A37" s="127" t="s">
        <v>582</v>
      </c>
      <c r="B37" s="119"/>
      <c r="C37" s="125" t="s">
        <v>583</v>
      </c>
      <c r="D37" s="119"/>
    </row>
    <row r="38" spans="1:4" x14ac:dyDescent="0.3">
      <c r="A38" s="127" t="s">
        <v>584</v>
      </c>
      <c r="B38" s="119"/>
      <c r="C38" s="125" t="s">
        <v>585</v>
      </c>
      <c r="D38" s="119"/>
    </row>
    <row r="39" spans="1:4" x14ac:dyDescent="0.3">
      <c r="A39" s="127" t="s">
        <v>586</v>
      </c>
      <c r="B39" s="119"/>
      <c r="C39" s="125" t="s">
        <v>587</v>
      </c>
      <c r="D39" s="119"/>
    </row>
  </sheetData>
  <mergeCells count="29">
    <mergeCell ref="A1:E1"/>
    <mergeCell ref="C34:D34"/>
    <mergeCell ref="C28:D28"/>
    <mergeCell ref="A27:B27"/>
    <mergeCell ref="A26:E26"/>
    <mergeCell ref="A2:E2"/>
    <mergeCell ref="A32:B32"/>
    <mergeCell ref="A31:B31"/>
    <mergeCell ref="C35:D35"/>
    <mergeCell ref="A34:B34"/>
    <mergeCell ref="C31:D31"/>
    <mergeCell ref="A28:B28"/>
    <mergeCell ref="A10:E10"/>
    <mergeCell ref="A18:E18"/>
    <mergeCell ref="A29:B29"/>
    <mergeCell ref="C29:D29"/>
    <mergeCell ref="C32:D32"/>
    <mergeCell ref="A35:B35"/>
    <mergeCell ref="C36:D36"/>
    <mergeCell ref="C27:D27"/>
    <mergeCell ref="A39:B39"/>
    <mergeCell ref="A30:B30"/>
    <mergeCell ref="A38:B38"/>
    <mergeCell ref="A36:B36"/>
    <mergeCell ref="C39:D39"/>
    <mergeCell ref="C30:D30"/>
    <mergeCell ref="C38:D38"/>
    <mergeCell ref="A37:B37"/>
    <mergeCell ref="C37:D37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ABC9C"/>
    <pageSetUpPr fitToPage="1"/>
  </sheetPr>
  <dimension ref="A1:D46"/>
  <sheetViews>
    <sheetView topLeftCell="A28" workbookViewId="0">
      <selection activeCell="C50" sqref="C50"/>
    </sheetView>
  </sheetViews>
  <sheetFormatPr defaultRowHeight="16.5" x14ac:dyDescent="0.3"/>
  <cols>
    <col min="1" max="1" width="8.125" customWidth="1"/>
    <col min="2" max="2" width="24.5" customWidth="1"/>
    <col min="3" max="3" width="47" customWidth="1"/>
    <col min="4" max="4" width="31.125" customWidth="1"/>
  </cols>
  <sheetData>
    <row r="1" spans="1:4" ht="20.25" x14ac:dyDescent="0.35">
      <c r="A1" s="115" t="s">
        <v>588</v>
      </c>
      <c r="B1" s="116"/>
      <c r="C1" s="116"/>
      <c r="D1" s="116"/>
    </row>
    <row r="3" spans="1:4" x14ac:dyDescent="0.3">
      <c r="A3" s="2" t="s">
        <v>589</v>
      </c>
      <c r="B3" s="2" t="s">
        <v>170</v>
      </c>
      <c r="C3" s="2" t="s">
        <v>590</v>
      </c>
      <c r="D3" s="2" t="s">
        <v>591</v>
      </c>
    </row>
    <row r="4" spans="1:4" ht="32.25" customHeight="1" x14ac:dyDescent="0.3">
      <c r="A4" s="61" t="s">
        <v>592</v>
      </c>
      <c r="B4" s="20" t="s">
        <v>593</v>
      </c>
      <c r="C4" s="6" t="s">
        <v>594</v>
      </c>
      <c r="D4" s="62" t="s">
        <v>595</v>
      </c>
    </row>
    <row r="5" spans="1:4" ht="32.25" customHeight="1" x14ac:dyDescent="0.3">
      <c r="A5" s="61" t="s">
        <v>596</v>
      </c>
      <c r="B5" s="20" t="s">
        <v>107</v>
      </c>
      <c r="C5" s="6" t="s">
        <v>597</v>
      </c>
      <c r="D5" s="62" t="s">
        <v>598</v>
      </c>
    </row>
    <row r="6" spans="1:4" ht="32.25" customHeight="1" x14ac:dyDescent="0.3">
      <c r="A6" s="61" t="s">
        <v>599</v>
      </c>
      <c r="B6" s="20" t="s">
        <v>600</v>
      </c>
      <c r="C6" s="6" t="s">
        <v>601</v>
      </c>
      <c r="D6" s="62" t="s">
        <v>602</v>
      </c>
    </row>
    <row r="7" spans="1:4" ht="32.25" customHeight="1" x14ac:dyDescent="0.3">
      <c r="A7" s="61" t="s">
        <v>603</v>
      </c>
      <c r="B7" s="20" t="s">
        <v>604</v>
      </c>
      <c r="C7" s="6" t="s">
        <v>605</v>
      </c>
      <c r="D7" s="62" t="s">
        <v>606</v>
      </c>
    </row>
    <row r="8" spans="1:4" ht="32.25" customHeight="1" x14ac:dyDescent="0.3">
      <c r="A8" s="61" t="s">
        <v>607</v>
      </c>
      <c r="B8" s="20" t="s">
        <v>608</v>
      </c>
      <c r="C8" s="6" t="s">
        <v>609</v>
      </c>
      <c r="D8" s="62" t="s">
        <v>610</v>
      </c>
    </row>
    <row r="11" spans="1:4" ht="20.25" x14ac:dyDescent="0.35">
      <c r="A11" s="115" t="s">
        <v>611</v>
      </c>
      <c r="B11" s="116"/>
      <c r="C11" s="116"/>
      <c r="D11" s="116"/>
    </row>
    <row r="12" spans="1:4" x14ac:dyDescent="0.3">
      <c r="A12" s="2" t="s">
        <v>612</v>
      </c>
      <c r="B12" s="2" t="s">
        <v>613</v>
      </c>
      <c r="C12" s="2" t="s">
        <v>614</v>
      </c>
    </row>
    <row r="13" spans="1:4" x14ac:dyDescent="0.3">
      <c r="A13" s="38" t="s">
        <v>615</v>
      </c>
      <c r="B13" s="6" t="s">
        <v>616</v>
      </c>
      <c r="C13" s="13" t="s">
        <v>617</v>
      </c>
    </row>
    <row r="14" spans="1:4" x14ac:dyDescent="0.3">
      <c r="A14" s="38" t="s">
        <v>618</v>
      </c>
      <c r="B14" s="6" t="s">
        <v>619</v>
      </c>
      <c r="C14" s="13" t="s">
        <v>617</v>
      </c>
    </row>
    <row r="15" spans="1:4" x14ac:dyDescent="0.3">
      <c r="A15" s="38" t="s">
        <v>620</v>
      </c>
      <c r="B15" s="6" t="s">
        <v>621</v>
      </c>
      <c r="C15" s="13" t="s">
        <v>622</v>
      </c>
    </row>
    <row r="16" spans="1:4" x14ac:dyDescent="0.3">
      <c r="A16" s="38" t="s">
        <v>623</v>
      </c>
      <c r="B16" s="6" t="s">
        <v>624</v>
      </c>
      <c r="C16" s="13" t="s">
        <v>622</v>
      </c>
    </row>
    <row r="17" spans="1:4" x14ac:dyDescent="0.3">
      <c r="A17" s="38" t="s">
        <v>625</v>
      </c>
      <c r="B17" s="6" t="s">
        <v>626</v>
      </c>
      <c r="C17" s="13" t="s">
        <v>622</v>
      </c>
    </row>
    <row r="18" spans="1:4" x14ac:dyDescent="0.3">
      <c r="A18" s="38" t="s">
        <v>627</v>
      </c>
      <c r="B18" s="6" t="s">
        <v>628</v>
      </c>
      <c r="C18" s="13" t="s">
        <v>622</v>
      </c>
    </row>
    <row r="19" spans="1:4" x14ac:dyDescent="0.3">
      <c r="A19" s="38" t="s">
        <v>629</v>
      </c>
      <c r="B19" s="6" t="s">
        <v>630</v>
      </c>
      <c r="C19" s="13" t="s">
        <v>617</v>
      </c>
    </row>
    <row r="20" spans="1:4" x14ac:dyDescent="0.3">
      <c r="A20" s="38" t="s">
        <v>629</v>
      </c>
      <c r="B20" s="6" t="s">
        <v>631</v>
      </c>
      <c r="C20" s="13" t="s">
        <v>622</v>
      </c>
    </row>
    <row r="21" spans="1:4" x14ac:dyDescent="0.3">
      <c r="A21" s="38" t="s">
        <v>629</v>
      </c>
      <c r="B21" s="6" t="s">
        <v>632</v>
      </c>
      <c r="C21" s="13" t="s">
        <v>622</v>
      </c>
    </row>
    <row r="22" spans="1:4" x14ac:dyDescent="0.3">
      <c r="A22" s="100"/>
      <c r="B22" s="101"/>
      <c r="C22" s="102"/>
    </row>
    <row r="25" spans="1:4" ht="20.25" x14ac:dyDescent="0.35">
      <c r="A25" s="115" t="s">
        <v>633</v>
      </c>
      <c r="B25" s="116"/>
      <c r="C25" s="116"/>
      <c r="D25" s="116"/>
    </row>
    <row r="26" spans="1:4" x14ac:dyDescent="0.3">
      <c r="A26" s="42" t="s">
        <v>634</v>
      </c>
      <c r="B26" s="128" t="s">
        <v>635</v>
      </c>
      <c r="C26" s="136"/>
      <c r="D26" s="119"/>
    </row>
    <row r="27" spans="1:4" x14ac:dyDescent="0.3">
      <c r="A27" s="46" t="s">
        <v>636</v>
      </c>
      <c r="B27" s="129" t="s">
        <v>637</v>
      </c>
      <c r="C27" s="136"/>
      <c r="D27" s="119"/>
    </row>
    <row r="28" spans="1:4" x14ac:dyDescent="0.3">
      <c r="A28" s="40" t="s">
        <v>638</v>
      </c>
      <c r="B28" s="127" t="s">
        <v>639</v>
      </c>
      <c r="C28" s="136"/>
      <c r="D28" s="119"/>
    </row>
    <row r="29" spans="1:4" x14ac:dyDescent="0.3">
      <c r="A29" s="63" t="s">
        <v>640</v>
      </c>
      <c r="B29" s="125" t="s">
        <v>641</v>
      </c>
      <c r="C29" s="136"/>
      <c r="D29" s="119"/>
    </row>
    <row r="30" spans="1:4" ht="21" thickBot="1" x14ac:dyDescent="0.4">
      <c r="A30" s="115" t="s">
        <v>642</v>
      </c>
      <c r="B30" s="116"/>
      <c r="C30" s="116"/>
      <c r="D30" s="116"/>
    </row>
    <row r="31" spans="1:4" x14ac:dyDescent="0.3">
      <c r="A31" s="103" t="s">
        <v>643</v>
      </c>
      <c r="B31" s="103" t="s">
        <v>644</v>
      </c>
      <c r="C31" s="134" t="s">
        <v>70</v>
      </c>
      <c r="D31" s="135"/>
    </row>
    <row r="32" spans="1:4" ht="15.75" customHeight="1" x14ac:dyDescent="0.3">
      <c r="A32" s="104" t="s">
        <v>645</v>
      </c>
      <c r="B32" s="105" t="s">
        <v>646</v>
      </c>
      <c r="C32" s="133" t="s">
        <v>647</v>
      </c>
      <c r="D32" s="133"/>
    </row>
    <row r="33" spans="1:4" ht="26.25" customHeight="1" x14ac:dyDescent="0.3">
      <c r="A33" s="104" t="s">
        <v>648</v>
      </c>
      <c r="B33" s="105" t="s">
        <v>649</v>
      </c>
      <c r="C33" s="133" t="s">
        <v>650</v>
      </c>
      <c r="D33" s="133"/>
    </row>
    <row r="34" spans="1:4" ht="16.5" customHeight="1" x14ac:dyDescent="0.3">
      <c r="A34" s="104" t="s">
        <v>651</v>
      </c>
      <c r="B34" s="105" t="s">
        <v>646</v>
      </c>
      <c r="C34" s="133" t="s">
        <v>652</v>
      </c>
      <c r="D34" s="133"/>
    </row>
    <row r="35" spans="1:4" ht="26.25" customHeight="1" x14ac:dyDescent="0.3">
      <c r="A35" s="104" t="s">
        <v>653</v>
      </c>
      <c r="B35" s="105" t="s">
        <v>646</v>
      </c>
      <c r="C35" s="133" t="s">
        <v>654</v>
      </c>
      <c r="D35" s="133"/>
    </row>
    <row r="36" spans="1:4" ht="26.25" customHeight="1" x14ac:dyDescent="0.3">
      <c r="A36" s="104" t="s">
        <v>653</v>
      </c>
      <c r="B36" s="105" t="s">
        <v>157</v>
      </c>
      <c r="C36" s="133" t="s">
        <v>655</v>
      </c>
      <c r="D36" s="133"/>
    </row>
    <row r="37" spans="1:4" ht="26.25" customHeight="1" x14ac:dyDescent="0.3">
      <c r="A37" s="104" t="s">
        <v>656</v>
      </c>
      <c r="B37" s="105" t="s">
        <v>646</v>
      </c>
      <c r="C37" s="133" t="s">
        <v>657</v>
      </c>
      <c r="D37" s="133"/>
    </row>
    <row r="38" spans="1:4" ht="26.25" customHeight="1" x14ac:dyDescent="0.3">
      <c r="A38" s="104" t="s">
        <v>658</v>
      </c>
      <c r="B38" s="105" t="s">
        <v>646</v>
      </c>
      <c r="C38" s="133" t="s">
        <v>659</v>
      </c>
      <c r="D38" s="133"/>
    </row>
    <row r="39" spans="1:4" ht="26.25" customHeight="1" x14ac:dyDescent="0.3">
      <c r="A39" s="104" t="s">
        <v>660</v>
      </c>
      <c r="B39" s="105" t="s">
        <v>646</v>
      </c>
      <c r="C39" s="133" t="s">
        <v>661</v>
      </c>
      <c r="D39" s="133"/>
    </row>
    <row r="40" spans="1:4" ht="26.25" customHeight="1" x14ac:dyDescent="0.3">
      <c r="A40" s="104" t="s">
        <v>662</v>
      </c>
      <c r="B40" s="105" t="s">
        <v>646</v>
      </c>
      <c r="C40" s="133" t="s">
        <v>663</v>
      </c>
      <c r="D40" s="133"/>
    </row>
    <row r="41" spans="1:4" ht="26.25" customHeight="1" x14ac:dyDescent="0.3">
      <c r="A41" s="104" t="s">
        <v>664</v>
      </c>
      <c r="B41" s="105" t="s">
        <v>665</v>
      </c>
      <c r="C41" s="133" t="s">
        <v>666</v>
      </c>
      <c r="D41" s="133"/>
    </row>
    <row r="42" spans="1:4" ht="26.25" customHeight="1" x14ac:dyDescent="0.3">
      <c r="A42" s="104" t="s">
        <v>667</v>
      </c>
      <c r="B42" s="105" t="s">
        <v>646</v>
      </c>
      <c r="C42" s="133" t="s">
        <v>668</v>
      </c>
      <c r="D42" s="133"/>
    </row>
    <row r="43" spans="1:4" ht="26.25" customHeight="1" x14ac:dyDescent="0.3">
      <c r="A43" s="104" t="s">
        <v>669</v>
      </c>
      <c r="B43" s="105" t="s">
        <v>649</v>
      </c>
      <c r="C43" s="133" t="s">
        <v>650</v>
      </c>
      <c r="D43" s="133"/>
    </row>
    <row r="44" spans="1:4" ht="26.25" customHeight="1" x14ac:dyDescent="0.3">
      <c r="A44" s="104" t="s">
        <v>670</v>
      </c>
      <c r="B44" s="105" t="s">
        <v>671</v>
      </c>
      <c r="C44" s="133" t="s">
        <v>672</v>
      </c>
      <c r="D44" s="133"/>
    </row>
    <row r="45" spans="1:4" ht="26.25" customHeight="1" x14ac:dyDescent="0.3">
      <c r="A45" s="104" t="s">
        <v>673</v>
      </c>
      <c r="B45" s="105" t="s">
        <v>674</v>
      </c>
      <c r="C45" s="133" t="s">
        <v>675</v>
      </c>
      <c r="D45" s="133"/>
    </row>
    <row r="46" spans="1:4" ht="26.25" customHeight="1" x14ac:dyDescent="0.3">
      <c r="A46" s="104" t="s">
        <v>676</v>
      </c>
      <c r="B46" s="105" t="s">
        <v>157</v>
      </c>
      <c r="C46" s="133" t="s">
        <v>677</v>
      </c>
      <c r="D46" s="133"/>
    </row>
  </sheetData>
  <mergeCells count="24">
    <mergeCell ref="A1:D1"/>
    <mergeCell ref="B29:D29"/>
    <mergeCell ref="A30:D30"/>
    <mergeCell ref="B27:D27"/>
    <mergeCell ref="B28:D28"/>
    <mergeCell ref="A25:D25"/>
    <mergeCell ref="A11:D11"/>
    <mergeCell ref="B26:D26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6:D46"/>
    <mergeCell ref="C41:D41"/>
    <mergeCell ref="C42:D42"/>
    <mergeCell ref="C43:D43"/>
    <mergeCell ref="C44:D44"/>
    <mergeCell ref="C45:D45"/>
  </mergeCells>
  <phoneticPr fontId="37" type="noConversion"/>
  <printOptions horizontalCentered="1"/>
  <pageMargins left="0.25" right="0.25" top="0.75" bottom="0.75" header="0.3" footer="0.3"/>
  <pageSetup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B2A4A"/>
    <pageSetUpPr fitToPage="1"/>
  </sheetPr>
  <dimension ref="A1:I50"/>
  <sheetViews>
    <sheetView topLeftCell="A46" workbookViewId="0">
      <selection activeCell="A7" sqref="A7:H7"/>
    </sheetView>
  </sheetViews>
  <sheetFormatPr defaultRowHeight="16.5" x14ac:dyDescent="0.3"/>
  <cols>
    <col min="1" max="1" width="4" customWidth="1"/>
    <col min="2" max="2" width="22" customWidth="1"/>
    <col min="3" max="8" width="14" customWidth="1"/>
    <col min="9" max="9" width="4" customWidth="1"/>
  </cols>
  <sheetData>
    <row r="1" spans="1:9" x14ac:dyDescent="0.3">
      <c r="A1" s="1"/>
      <c r="B1" s="143" t="s">
        <v>678</v>
      </c>
      <c r="C1" s="143"/>
      <c r="D1" s="143"/>
      <c r="E1" s="143"/>
      <c r="F1" s="143"/>
      <c r="G1" s="143"/>
      <c r="H1" s="143"/>
      <c r="I1" s="1"/>
    </row>
    <row r="2" spans="1:9" ht="16.5" customHeight="1" x14ac:dyDescent="0.3">
      <c r="A2" s="1"/>
      <c r="B2" s="143"/>
      <c r="C2" s="143"/>
      <c r="D2" s="143"/>
      <c r="E2" s="143"/>
      <c r="F2" s="143"/>
      <c r="G2" s="143"/>
      <c r="H2" s="143"/>
      <c r="I2" s="1"/>
    </row>
    <row r="3" spans="1:9" x14ac:dyDescent="0.3">
      <c r="A3" s="1"/>
      <c r="B3" s="143"/>
      <c r="C3" s="143"/>
      <c r="D3" s="143"/>
      <c r="E3" s="143"/>
      <c r="F3" s="143"/>
      <c r="G3" s="143"/>
      <c r="H3" s="143"/>
      <c r="I3" s="1"/>
    </row>
    <row r="4" spans="1:9" x14ac:dyDescent="0.3">
      <c r="A4" s="1"/>
      <c r="B4" s="113" t="s">
        <v>679</v>
      </c>
      <c r="C4" s="107"/>
      <c r="D4" s="107"/>
      <c r="E4" s="107"/>
      <c r="F4" s="107"/>
      <c r="G4" s="107"/>
      <c r="H4" s="107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7" spans="1:9" ht="20.25" x14ac:dyDescent="0.35">
      <c r="A7" s="139" t="s">
        <v>680</v>
      </c>
      <c r="B7" s="116"/>
      <c r="C7" s="116"/>
      <c r="D7" s="116"/>
      <c r="E7" s="116"/>
      <c r="F7" s="116"/>
      <c r="G7" s="116"/>
      <c r="H7" s="116"/>
    </row>
    <row r="8" spans="1:9" x14ac:dyDescent="0.3">
      <c r="A8" s="2"/>
      <c r="B8" s="2" t="s">
        <v>681</v>
      </c>
      <c r="C8" s="2" t="s">
        <v>682</v>
      </c>
      <c r="D8" s="2" t="s">
        <v>683</v>
      </c>
      <c r="E8" s="2" t="s">
        <v>684</v>
      </c>
      <c r="F8" s="2" t="s">
        <v>685</v>
      </c>
      <c r="G8" s="2" t="s">
        <v>686</v>
      </c>
      <c r="H8" s="2" t="s">
        <v>687</v>
      </c>
    </row>
    <row r="9" spans="1:9" x14ac:dyDescent="0.3">
      <c r="A9" s="12"/>
      <c r="B9" s="20" t="s">
        <v>688</v>
      </c>
      <c r="C9" s="12">
        <v>5</v>
      </c>
      <c r="D9" s="12">
        <v>5</v>
      </c>
      <c r="E9" s="12">
        <v>5</v>
      </c>
      <c r="F9" s="12">
        <v>4</v>
      </c>
      <c r="G9" s="12">
        <v>3</v>
      </c>
      <c r="H9" s="64" t="s">
        <v>689</v>
      </c>
    </row>
    <row r="10" spans="1:9" x14ac:dyDescent="0.3">
      <c r="A10" s="12"/>
      <c r="B10" s="20" t="s">
        <v>690</v>
      </c>
      <c r="C10" s="12">
        <v>5</v>
      </c>
      <c r="D10" s="12">
        <v>4</v>
      </c>
      <c r="E10" s="12">
        <v>4</v>
      </c>
      <c r="F10" s="12">
        <v>5</v>
      </c>
      <c r="G10" s="12">
        <v>3</v>
      </c>
      <c r="H10" s="64" t="s">
        <v>691</v>
      </c>
    </row>
    <row r="11" spans="1:9" x14ac:dyDescent="0.3">
      <c r="A11" s="12"/>
      <c r="B11" s="20" t="s">
        <v>692</v>
      </c>
      <c r="C11" s="12">
        <v>3</v>
      </c>
      <c r="D11" s="12">
        <v>3</v>
      </c>
      <c r="E11" s="12">
        <v>4</v>
      </c>
      <c r="F11" s="12">
        <v>4</v>
      </c>
      <c r="G11" s="12">
        <v>4</v>
      </c>
      <c r="H11" s="65" t="s">
        <v>693</v>
      </c>
    </row>
    <row r="12" spans="1:9" x14ac:dyDescent="0.3">
      <c r="A12" s="12"/>
      <c r="B12" s="20" t="s">
        <v>694</v>
      </c>
      <c r="C12" s="12">
        <v>3</v>
      </c>
      <c r="D12" s="12">
        <v>3</v>
      </c>
      <c r="E12" s="12">
        <v>4</v>
      </c>
      <c r="F12" s="12">
        <v>3</v>
      </c>
      <c r="G12" s="12">
        <v>4</v>
      </c>
      <c r="H12" s="65" t="s">
        <v>695</v>
      </c>
    </row>
    <row r="14" spans="1:9" x14ac:dyDescent="0.3">
      <c r="B14" s="137" t="s">
        <v>696</v>
      </c>
      <c r="C14" s="136"/>
      <c r="D14" s="136"/>
      <c r="E14" s="119"/>
      <c r="F14" s="140" t="s">
        <v>697</v>
      </c>
      <c r="G14" s="119"/>
    </row>
    <row r="15" spans="1:9" ht="21" thickBot="1" x14ac:dyDescent="0.4">
      <c r="A15" s="139" t="s">
        <v>698</v>
      </c>
      <c r="B15" s="116"/>
      <c r="C15" s="116"/>
      <c r="D15" s="116"/>
      <c r="E15" s="116"/>
      <c r="F15" s="116"/>
      <c r="G15" s="116"/>
      <c r="H15" s="116"/>
    </row>
    <row r="16" spans="1:9" ht="16.5" customHeight="1" x14ac:dyDescent="0.3">
      <c r="B16" s="141" t="s">
        <v>699</v>
      </c>
      <c r="C16" s="141"/>
      <c r="D16" s="141"/>
      <c r="E16" s="141"/>
      <c r="F16" s="141"/>
      <c r="G16" s="141"/>
      <c r="H16" s="141"/>
    </row>
    <row r="17" spans="1:8" x14ac:dyDescent="0.3">
      <c r="B17" s="142"/>
      <c r="C17" s="142"/>
      <c r="D17" s="142"/>
      <c r="E17" s="142"/>
      <c r="F17" s="142"/>
      <c r="G17" s="142"/>
      <c r="H17" s="142"/>
    </row>
    <row r="18" spans="1:8" x14ac:dyDescent="0.3">
      <c r="B18" s="142"/>
      <c r="C18" s="142"/>
      <c r="D18" s="142"/>
      <c r="E18" s="142"/>
      <c r="F18" s="142"/>
      <c r="G18" s="142"/>
      <c r="H18" s="142"/>
    </row>
    <row r="19" spans="1:8" ht="21" thickBot="1" x14ac:dyDescent="0.4">
      <c r="A19" s="139" t="s">
        <v>700</v>
      </c>
      <c r="B19" s="116"/>
      <c r="C19" s="116"/>
      <c r="D19" s="116"/>
      <c r="E19" s="116"/>
      <c r="F19" s="116"/>
      <c r="G19" s="116"/>
      <c r="H19" s="116"/>
    </row>
    <row r="20" spans="1:8" x14ac:dyDescent="0.3">
      <c r="B20" s="132" t="s">
        <v>701</v>
      </c>
      <c r="C20" s="107"/>
      <c r="D20" s="107"/>
      <c r="E20" s="126" t="s">
        <v>702</v>
      </c>
      <c r="F20" s="107"/>
      <c r="G20" s="107"/>
      <c r="H20" s="107"/>
    </row>
    <row r="21" spans="1:8" x14ac:dyDescent="0.3">
      <c r="B21" s="128" t="s">
        <v>703</v>
      </c>
      <c r="C21" s="136"/>
      <c r="D21" s="119"/>
      <c r="E21" s="129" t="s">
        <v>704</v>
      </c>
      <c r="F21" s="136"/>
      <c r="G21" s="136"/>
      <c r="H21" s="119"/>
    </row>
    <row r="22" spans="1:8" x14ac:dyDescent="0.3">
      <c r="B22" s="128" t="s">
        <v>705</v>
      </c>
      <c r="C22" s="136"/>
      <c r="D22" s="119"/>
      <c r="E22" s="129" t="s">
        <v>706</v>
      </c>
      <c r="F22" s="136"/>
      <c r="G22" s="136"/>
      <c r="H22" s="119"/>
    </row>
    <row r="23" spans="1:8" x14ac:dyDescent="0.3">
      <c r="B23" s="128" t="s">
        <v>707</v>
      </c>
      <c r="C23" s="136"/>
      <c r="D23" s="119"/>
      <c r="E23" s="129" t="s">
        <v>708</v>
      </c>
      <c r="F23" s="136"/>
      <c r="G23" s="136"/>
      <c r="H23" s="119"/>
    </row>
    <row r="25" spans="1:8" ht="20.25" x14ac:dyDescent="0.35">
      <c r="A25" s="139" t="s">
        <v>709</v>
      </c>
      <c r="B25" s="116"/>
      <c r="C25" s="116"/>
      <c r="D25" s="116"/>
      <c r="E25" s="116"/>
      <c r="F25" s="116"/>
      <c r="G25" s="116"/>
      <c r="H25" s="116"/>
    </row>
    <row r="26" spans="1:8" x14ac:dyDescent="0.3">
      <c r="A26" s="2"/>
      <c r="B26" s="2" t="s">
        <v>170</v>
      </c>
      <c r="C26" s="2" t="s">
        <v>710</v>
      </c>
      <c r="D26" s="2" t="s">
        <v>248</v>
      </c>
      <c r="E26" s="2" t="s">
        <v>711</v>
      </c>
      <c r="F26" s="2"/>
      <c r="G26" s="2"/>
      <c r="H26" s="2"/>
    </row>
    <row r="27" spans="1:8" x14ac:dyDescent="0.3">
      <c r="A27" s="138" t="s">
        <v>712</v>
      </c>
      <c r="B27" s="136"/>
      <c r="C27" s="136"/>
      <c r="D27" s="136"/>
      <c r="E27" s="136"/>
      <c r="F27" s="136"/>
      <c r="G27" s="136"/>
      <c r="H27" s="119"/>
    </row>
    <row r="28" spans="1:8" ht="40.5" x14ac:dyDescent="0.3">
      <c r="A28" s="12"/>
      <c r="B28" s="20" t="s">
        <v>713</v>
      </c>
      <c r="C28" s="6" t="s">
        <v>714</v>
      </c>
      <c r="D28" s="36" t="s">
        <v>715</v>
      </c>
      <c r="E28" s="36" t="s">
        <v>716</v>
      </c>
      <c r="F28" s="12"/>
      <c r="G28" s="12"/>
      <c r="H28" s="12"/>
    </row>
    <row r="29" spans="1:8" ht="40.5" x14ac:dyDescent="0.3">
      <c r="A29" s="12"/>
      <c r="B29" s="20" t="s">
        <v>717</v>
      </c>
      <c r="C29" s="6" t="s">
        <v>718</v>
      </c>
      <c r="D29" s="36" t="s">
        <v>715</v>
      </c>
      <c r="E29" s="36" t="s">
        <v>716</v>
      </c>
      <c r="F29" s="12"/>
      <c r="G29" s="12"/>
      <c r="H29" s="12"/>
    </row>
    <row r="30" spans="1:8" ht="40.5" x14ac:dyDescent="0.3">
      <c r="A30" s="12"/>
      <c r="B30" s="20" t="s">
        <v>719</v>
      </c>
      <c r="C30" s="6" t="s">
        <v>720</v>
      </c>
      <c r="D30" s="36" t="s">
        <v>715</v>
      </c>
      <c r="E30" s="36" t="s">
        <v>716</v>
      </c>
      <c r="F30" s="12"/>
      <c r="G30" s="12"/>
      <c r="H30" s="12"/>
    </row>
    <row r="31" spans="1:8" ht="40.5" x14ac:dyDescent="0.3">
      <c r="A31" s="12"/>
      <c r="B31" s="20" t="s">
        <v>721</v>
      </c>
      <c r="C31" s="6" t="s">
        <v>722</v>
      </c>
      <c r="D31" s="36" t="s">
        <v>723</v>
      </c>
      <c r="E31" s="36" t="s">
        <v>724</v>
      </c>
      <c r="F31" s="12"/>
      <c r="G31" s="12"/>
      <c r="H31" s="12"/>
    </row>
    <row r="32" spans="1:8" ht="40.5" x14ac:dyDescent="0.3">
      <c r="A32" s="12"/>
      <c r="B32" s="20" t="s">
        <v>725</v>
      </c>
      <c r="C32" s="6" t="s">
        <v>726</v>
      </c>
      <c r="D32" s="12" t="s">
        <v>723</v>
      </c>
      <c r="E32" s="12" t="s">
        <v>727</v>
      </c>
      <c r="F32" s="12"/>
      <c r="G32" s="12"/>
      <c r="H32" s="12"/>
    </row>
    <row r="33" spans="1:8" x14ac:dyDescent="0.3">
      <c r="A33" s="138" t="s">
        <v>728</v>
      </c>
      <c r="B33" s="136"/>
      <c r="C33" s="136"/>
      <c r="D33" s="136"/>
      <c r="E33" s="136"/>
      <c r="F33" s="136"/>
      <c r="G33" s="136"/>
      <c r="H33" s="119"/>
    </row>
    <row r="34" spans="1:8" ht="40.5" x14ac:dyDescent="0.3">
      <c r="A34" s="12"/>
      <c r="B34" s="20" t="s">
        <v>729</v>
      </c>
      <c r="C34" s="6" t="s">
        <v>730</v>
      </c>
      <c r="D34" s="36" t="s">
        <v>731</v>
      </c>
      <c r="E34" s="36" t="s">
        <v>716</v>
      </c>
      <c r="F34" s="12"/>
      <c r="G34" s="12"/>
      <c r="H34" s="12"/>
    </row>
    <row r="35" spans="1:8" ht="40.5" x14ac:dyDescent="0.3">
      <c r="A35" s="12"/>
      <c r="B35" s="20" t="s">
        <v>732</v>
      </c>
      <c r="C35" s="6" t="s">
        <v>733</v>
      </c>
      <c r="D35" s="36" t="s">
        <v>734</v>
      </c>
      <c r="E35" s="36" t="s">
        <v>724</v>
      </c>
      <c r="F35" s="12"/>
      <c r="G35" s="12"/>
      <c r="H35" s="12"/>
    </row>
    <row r="36" spans="1:8" ht="40.5" x14ac:dyDescent="0.3">
      <c r="A36" s="12"/>
      <c r="B36" s="20" t="s">
        <v>735</v>
      </c>
      <c r="C36" s="6" t="s">
        <v>736</v>
      </c>
      <c r="D36" s="36" t="s">
        <v>734</v>
      </c>
      <c r="E36" s="36" t="s">
        <v>724</v>
      </c>
      <c r="F36" s="12"/>
      <c r="G36" s="12"/>
      <c r="H36" s="12"/>
    </row>
    <row r="37" spans="1:8" ht="40.5" x14ac:dyDescent="0.3">
      <c r="A37" s="12"/>
      <c r="B37" s="20" t="s">
        <v>737</v>
      </c>
      <c r="C37" s="6" t="s">
        <v>738</v>
      </c>
      <c r="D37" s="36" t="s">
        <v>731</v>
      </c>
      <c r="E37" s="36" t="s">
        <v>716</v>
      </c>
      <c r="F37" s="12"/>
      <c r="G37" s="12"/>
      <c r="H37" s="12"/>
    </row>
    <row r="38" spans="1:8" ht="40.5" x14ac:dyDescent="0.3">
      <c r="A38" s="12"/>
      <c r="B38" s="20" t="s">
        <v>739</v>
      </c>
      <c r="C38" s="6" t="s">
        <v>740</v>
      </c>
      <c r="D38" s="12" t="s">
        <v>723</v>
      </c>
      <c r="E38" s="12" t="s">
        <v>727</v>
      </c>
      <c r="F38" s="12"/>
      <c r="G38" s="12"/>
      <c r="H38" s="12"/>
    </row>
    <row r="39" spans="1:8" x14ac:dyDescent="0.3">
      <c r="A39" s="138" t="s">
        <v>741</v>
      </c>
      <c r="B39" s="136"/>
      <c r="C39" s="136"/>
      <c r="D39" s="136"/>
      <c r="E39" s="136"/>
      <c r="F39" s="136"/>
      <c r="G39" s="136"/>
      <c r="H39" s="119"/>
    </row>
    <row r="40" spans="1:8" ht="40.5" x14ac:dyDescent="0.3">
      <c r="A40" s="12"/>
      <c r="B40" s="20" t="s">
        <v>742</v>
      </c>
      <c r="C40" s="6" t="s">
        <v>743</v>
      </c>
      <c r="D40" s="12" t="s">
        <v>723</v>
      </c>
      <c r="E40" s="12" t="s">
        <v>727</v>
      </c>
      <c r="F40" s="12"/>
      <c r="G40" s="12"/>
      <c r="H40" s="12"/>
    </row>
    <row r="41" spans="1:8" ht="40.5" x14ac:dyDescent="0.3">
      <c r="A41" s="12"/>
      <c r="B41" s="20" t="s">
        <v>744</v>
      </c>
      <c r="C41" s="6" t="s">
        <v>745</v>
      </c>
      <c r="D41" s="12" t="s">
        <v>723</v>
      </c>
      <c r="E41" s="12" t="s">
        <v>727</v>
      </c>
      <c r="F41" s="12"/>
      <c r="G41" s="12"/>
      <c r="H41" s="12"/>
    </row>
    <row r="42" spans="1:8" ht="40.5" x14ac:dyDescent="0.3">
      <c r="A42" s="12"/>
      <c r="B42" s="20" t="s">
        <v>746</v>
      </c>
      <c r="C42" s="6" t="s">
        <v>747</v>
      </c>
      <c r="D42" s="36" t="s">
        <v>285</v>
      </c>
      <c r="E42" s="36" t="s">
        <v>724</v>
      </c>
      <c r="F42" s="12"/>
      <c r="G42" s="12"/>
      <c r="H42" s="12"/>
    </row>
    <row r="43" spans="1:8" ht="40.5" x14ac:dyDescent="0.3">
      <c r="A43" s="12"/>
      <c r="B43" s="20" t="s">
        <v>748</v>
      </c>
      <c r="C43" s="6" t="s">
        <v>749</v>
      </c>
      <c r="D43" s="36" t="s">
        <v>285</v>
      </c>
      <c r="E43" s="36" t="s">
        <v>724</v>
      </c>
      <c r="F43" s="12"/>
      <c r="G43" s="12"/>
      <c r="H43" s="12"/>
    </row>
    <row r="44" spans="1:8" ht="40.5" x14ac:dyDescent="0.3">
      <c r="A44" s="12"/>
      <c r="B44" s="20" t="s">
        <v>750</v>
      </c>
      <c r="C44" s="6" t="s">
        <v>751</v>
      </c>
      <c r="D44" s="36" t="s">
        <v>285</v>
      </c>
      <c r="E44" s="36" t="s">
        <v>724</v>
      </c>
      <c r="F44" s="12"/>
      <c r="G44" s="12"/>
      <c r="H44" s="12"/>
    </row>
    <row r="45" spans="1:8" x14ac:dyDescent="0.3">
      <c r="A45" s="138" t="s">
        <v>752</v>
      </c>
      <c r="B45" s="136"/>
      <c r="C45" s="136"/>
      <c r="D45" s="136"/>
      <c r="E45" s="136"/>
      <c r="F45" s="136"/>
      <c r="G45" s="136"/>
      <c r="H45" s="119"/>
    </row>
    <row r="46" spans="1:8" ht="40.5" x14ac:dyDescent="0.3">
      <c r="A46" s="12"/>
      <c r="B46" s="20" t="s">
        <v>753</v>
      </c>
      <c r="C46" s="6" t="s">
        <v>754</v>
      </c>
      <c r="D46" s="12" t="s">
        <v>264</v>
      </c>
      <c r="E46" s="12" t="s">
        <v>727</v>
      </c>
      <c r="F46" s="12"/>
      <c r="G46" s="12"/>
      <c r="H46" s="12"/>
    </row>
    <row r="47" spans="1:8" ht="27" x14ac:dyDescent="0.3">
      <c r="A47" s="12"/>
      <c r="B47" s="20" t="s">
        <v>755</v>
      </c>
      <c r="C47" s="6" t="s">
        <v>756</v>
      </c>
      <c r="D47" s="12" t="s">
        <v>264</v>
      </c>
      <c r="E47" s="12" t="s">
        <v>727</v>
      </c>
      <c r="F47" s="12"/>
      <c r="G47" s="12"/>
      <c r="H47" s="12"/>
    </row>
    <row r="48" spans="1:8" x14ac:dyDescent="0.3">
      <c r="A48" s="12"/>
      <c r="B48" s="20" t="s">
        <v>282</v>
      </c>
      <c r="C48" s="6" t="s">
        <v>757</v>
      </c>
      <c r="D48" s="36" t="s">
        <v>285</v>
      </c>
      <c r="E48" s="36" t="s">
        <v>724</v>
      </c>
      <c r="F48" s="12"/>
      <c r="G48" s="12"/>
      <c r="H48" s="12"/>
    </row>
    <row r="49" spans="1:8" ht="27" x14ac:dyDescent="0.3">
      <c r="A49" s="12"/>
      <c r="B49" s="20" t="s">
        <v>267</v>
      </c>
      <c r="C49" s="6" t="s">
        <v>758</v>
      </c>
      <c r="D49" s="12" t="s">
        <v>264</v>
      </c>
      <c r="E49" s="12" t="s">
        <v>727</v>
      </c>
      <c r="F49" s="12"/>
      <c r="G49" s="12"/>
      <c r="H49" s="12"/>
    </row>
    <row r="50" spans="1:8" x14ac:dyDescent="0.3">
      <c r="A50" s="12"/>
      <c r="B50" s="20" t="s">
        <v>142</v>
      </c>
      <c r="C50" s="6" t="s">
        <v>759</v>
      </c>
      <c r="D50" s="36" t="s">
        <v>285</v>
      </c>
      <c r="E50" s="36" t="s">
        <v>724</v>
      </c>
      <c r="F50" s="12"/>
      <c r="G50" s="12"/>
      <c r="H50" s="12"/>
    </row>
  </sheetData>
  <mergeCells count="21">
    <mergeCell ref="B1:H3"/>
    <mergeCell ref="A45:H45"/>
    <mergeCell ref="E23:H23"/>
    <mergeCell ref="B23:D23"/>
    <mergeCell ref="A25:H25"/>
    <mergeCell ref="E22:H22"/>
    <mergeCell ref="A39:H39"/>
    <mergeCell ref="B22:D22"/>
    <mergeCell ref="E21:H21"/>
    <mergeCell ref="A7:H7"/>
    <mergeCell ref="B4:H4"/>
    <mergeCell ref="A15:H15"/>
    <mergeCell ref="E20:H20"/>
    <mergeCell ref="B14:E14"/>
    <mergeCell ref="A33:H33"/>
    <mergeCell ref="A19:H19"/>
    <mergeCell ref="B21:D21"/>
    <mergeCell ref="A27:H27"/>
    <mergeCell ref="F14:G14"/>
    <mergeCell ref="B20:D20"/>
    <mergeCell ref="B16:H18"/>
  </mergeCells>
  <phoneticPr fontId="37" type="noConversion"/>
  <printOptions horizontalCentered="1"/>
  <pageMargins left="0.75" right="0.75" top="1" bottom="1" header="0.5" footer="0.5"/>
  <pageSetup scale="5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C3E6B"/>
    <pageSetUpPr fitToPage="1"/>
  </sheetPr>
  <dimension ref="A1:H37"/>
  <sheetViews>
    <sheetView topLeftCell="A7" workbookViewId="0">
      <selection sqref="A1:H1"/>
    </sheetView>
  </sheetViews>
  <sheetFormatPr defaultRowHeight="16.5" x14ac:dyDescent="0.3"/>
  <cols>
    <col min="1" max="1" width="20" customWidth="1"/>
    <col min="2" max="8" width="16" customWidth="1"/>
  </cols>
  <sheetData>
    <row r="1" spans="1:8" ht="20.25" x14ac:dyDescent="0.35">
      <c r="A1" s="139" t="s">
        <v>760</v>
      </c>
      <c r="B1" s="116"/>
      <c r="C1" s="116"/>
      <c r="D1" s="116"/>
      <c r="E1" s="116"/>
      <c r="F1" s="116"/>
      <c r="G1" s="116"/>
      <c r="H1" s="116"/>
    </row>
    <row r="2" spans="1:8" ht="20.25" x14ac:dyDescent="0.35">
      <c r="A2" s="139" t="s">
        <v>761</v>
      </c>
      <c r="B2" s="116"/>
      <c r="C2" s="116"/>
      <c r="D2" s="116"/>
      <c r="E2" s="116"/>
      <c r="F2" s="116"/>
      <c r="G2" s="116"/>
      <c r="H2" s="116"/>
    </row>
    <row r="3" spans="1:8" x14ac:dyDescent="0.3">
      <c r="A3" s="2" t="s">
        <v>762</v>
      </c>
      <c r="B3" s="2" t="s">
        <v>763</v>
      </c>
      <c r="C3" s="2" t="s">
        <v>764</v>
      </c>
      <c r="D3" s="2" t="s">
        <v>765</v>
      </c>
      <c r="E3" s="2" t="s">
        <v>766</v>
      </c>
      <c r="F3" s="2"/>
      <c r="G3" s="2"/>
      <c r="H3" s="2"/>
    </row>
    <row r="4" spans="1:8" ht="40.5" x14ac:dyDescent="0.3">
      <c r="A4" s="20" t="s">
        <v>729</v>
      </c>
      <c r="B4" s="36" t="s">
        <v>767</v>
      </c>
      <c r="C4" s="36" t="s">
        <v>731</v>
      </c>
      <c r="D4" s="6" t="s">
        <v>768</v>
      </c>
      <c r="E4" s="12" t="s">
        <v>769</v>
      </c>
      <c r="F4" s="12"/>
      <c r="G4" s="12"/>
      <c r="H4" s="12"/>
    </row>
    <row r="5" spans="1:8" ht="40.5" x14ac:dyDescent="0.3">
      <c r="A5" s="20" t="s">
        <v>732</v>
      </c>
      <c r="B5" s="36" t="s">
        <v>767</v>
      </c>
      <c r="C5" s="36" t="s">
        <v>734</v>
      </c>
      <c r="D5" s="6" t="s">
        <v>770</v>
      </c>
      <c r="E5" s="12" t="s">
        <v>771</v>
      </c>
      <c r="F5" s="12"/>
      <c r="G5" s="12"/>
      <c r="H5" s="12"/>
    </row>
    <row r="6" spans="1:8" ht="40.5" x14ac:dyDescent="0.3">
      <c r="A6" s="20" t="s">
        <v>735</v>
      </c>
      <c r="B6" s="36" t="s">
        <v>767</v>
      </c>
      <c r="C6" s="36" t="s">
        <v>734</v>
      </c>
      <c r="D6" s="6" t="s">
        <v>772</v>
      </c>
      <c r="E6" s="12" t="s">
        <v>771</v>
      </c>
      <c r="F6" s="12"/>
      <c r="G6" s="12"/>
      <c r="H6" s="12"/>
    </row>
    <row r="7" spans="1:8" ht="27" x14ac:dyDescent="0.3">
      <c r="A7" s="20" t="s">
        <v>773</v>
      </c>
      <c r="B7" s="47" t="s">
        <v>774</v>
      </c>
      <c r="C7" s="47" t="s">
        <v>775</v>
      </c>
      <c r="D7" s="6" t="s">
        <v>776</v>
      </c>
      <c r="E7" s="12" t="s">
        <v>36</v>
      </c>
      <c r="F7" s="12"/>
      <c r="G7" s="12"/>
      <c r="H7" s="12"/>
    </row>
    <row r="8" spans="1:8" ht="40.5" x14ac:dyDescent="0.3">
      <c r="A8" s="20" t="s">
        <v>777</v>
      </c>
      <c r="B8" s="13" t="s">
        <v>778</v>
      </c>
      <c r="C8" s="13" t="s">
        <v>723</v>
      </c>
      <c r="D8" s="6" t="s">
        <v>779</v>
      </c>
      <c r="E8" s="12" t="s">
        <v>780</v>
      </c>
      <c r="F8" s="12"/>
      <c r="G8" s="12"/>
      <c r="H8" s="12"/>
    </row>
    <row r="10" spans="1:8" ht="20.25" x14ac:dyDescent="0.35">
      <c r="A10" s="139" t="s">
        <v>781</v>
      </c>
      <c r="B10" s="116"/>
      <c r="C10" s="116"/>
      <c r="D10" s="116"/>
      <c r="E10" s="116"/>
      <c r="F10" s="116"/>
      <c r="G10" s="116"/>
      <c r="H10" s="116"/>
    </row>
    <row r="11" spans="1:8" x14ac:dyDescent="0.3">
      <c r="A11" s="2" t="s">
        <v>20</v>
      </c>
      <c r="B11" s="2" t="s">
        <v>782</v>
      </c>
      <c r="C11" s="2" t="s">
        <v>783</v>
      </c>
      <c r="D11" s="2" t="s">
        <v>784</v>
      </c>
      <c r="E11" s="2" t="s">
        <v>785</v>
      </c>
      <c r="F11" s="2" t="s">
        <v>320</v>
      </c>
      <c r="G11" s="2" t="s">
        <v>786</v>
      </c>
      <c r="H11" s="2" t="s">
        <v>27</v>
      </c>
    </row>
    <row r="12" spans="1:8" x14ac:dyDescent="0.3">
      <c r="A12" s="3" t="s">
        <v>787</v>
      </c>
      <c r="B12" s="4">
        <v>16337</v>
      </c>
      <c r="C12" s="4">
        <v>8740</v>
      </c>
      <c r="D12" s="39" t="s">
        <v>788</v>
      </c>
      <c r="E12" s="4">
        <v>5954</v>
      </c>
      <c r="F12" s="39" t="s">
        <v>789</v>
      </c>
      <c r="G12" s="12" t="s">
        <v>790</v>
      </c>
      <c r="H12" s="28" t="s">
        <v>791</v>
      </c>
    </row>
    <row r="13" spans="1:8" x14ac:dyDescent="0.3">
      <c r="A13" s="3" t="s">
        <v>792</v>
      </c>
      <c r="B13" s="4">
        <v>16965</v>
      </c>
      <c r="C13" s="4">
        <v>9113</v>
      </c>
      <c r="D13" s="39" t="s">
        <v>793</v>
      </c>
      <c r="E13" s="4">
        <v>6186</v>
      </c>
      <c r="F13" s="39" t="s">
        <v>794</v>
      </c>
      <c r="G13" s="12" t="s">
        <v>795</v>
      </c>
      <c r="H13" s="28"/>
    </row>
    <row r="14" spans="1:8" x14ac:dyDescent="0.3">
      <c r="A14" s="3" t="s">
        <v>796</v>
      </c>
      <c r="B14" s="4">
        <v>16044</v>
      </c>
      <c r="C14" s="4">
        <v>8169</v>
      </c>
      <c r="D14" s="39" t="s">
        <v>797</v>
      </c>
      <c r="E14" s="4">
        <v>5308</v>
      </c>
      <c r="F14" s="39" t="s">
        <v>798</v>
      </c>
      <c r="G14" s="12" t="s">
        <v>799</v>
      </c>
      <c r="H14" s="28"/>
    </row>
    <row r="15" spans="1:8" x14ac:dyDescent="0.3">
      <c r="A15" s="3" t="s">
        <v>800</v>
      </c>
      <c r="B15" s="4">
        <v>14380</v>
      </c>
      <c r="C15" s="4">
        <v>7084</v>
      </c>
      <c r="D15" s="39" t="s">
        <v>801</v>
      </c>
      <c r="E15" s="4">
        <v>4306</v>
      </c>
      <c r="F15" s="39" t="s">
        <v>802</v>
      </c>
      <c r="G15" s="12" t="s">
        <v>803</v>
      </c>
      <c r="H15" s="28"/>
    </row>
    <row r="16" spans="1:8" x14ac:dyDescent="0.3">
      <c r="A16" s="3" t="s">
        <v>391</v>
      </c>
      <c r="B16" s="4">
        <v>15200</v>
      </c>
      <c r="C16" s="4">
        <v>7834</v>
      </c>
      <c r="D16" s="39" t="s">
        <v>804</v>
      </c>
      <c r="E16" s="4">
        <v>5011</v>
      </c>
      <c r="F16" s="39" t="s">
        <v>805</v>
      </c>
      <c r="G16" s="12" t="s">
        <v>806</v>
      </c>
      <c r="H16" s="28"/>
    </row>
    <row r="17" spans="1:8" x14ac:dyDescent="0.3">
      <c r="A17" s="3" t="s">
        <v>395</v>
      </c>
      <c r="B17" s="4">
        <v>4785</v>
      </c>
      <c r="C17" s="4">
        <v>-660</v>
      </c>
      <c r="D17" s="66" t="s">
        <v>807</v>
      </c>
      <c r="E17" s="4">
        <v>-4316</v>
      </c>
      <c r="F17" s="66" t="s">
        <v>808</v>
      </c>
      <c r="G17" s="12" t="s">
        <v>809</v>
      </c>
      <c r="H17" s="28" t="s">
        <v>810</v>
      </c>
    </row>
    <row r="18" spans="1:8" x14ac:dyDescent="0.3">
      <c r="A18" s="3" t="s">
        <v>398</v>
      </c>
      <c r="B18" s="4">
        <v>7884</v>
      </c>
      <c r="C18" s="4" t="s">
        <v>36</v>
      </c>
      <c r="D18" s="12" t="s">
        <v>36</v>
      </c>
      <c r="E18" s="4">
        <v>-527</v>
      </c>
      <c r="F18" s="66" t="s">
        <v>811</v>
      </c>
      <c r="G18" s="12" t="s">
        <v>812</v>
      </c>
      <c r="H18" s="28" t="s">
        <v>813</v>
      </c>
    </row>
    <row r="19" spans="1:8" x14ac:dyDescent="0.3">
      <c r="A19" s="3" t="s">
        <v>402</v>
      </c>
      <c r="B19" s="4">
        <v>12706</v>
      </c>
      <c r="C19" s="4">
        <v>3488</v>
      </c>
      <c r="D19" s="12" t="s">
        <v>814</v>
      </c>
      <c r="E19" s="4">
        <v>2175</v>
      </c>
      <c r="F19" s="12" t="s">
        <v>815</v>
      </c>
      <c r="G19" s="12" t="s">
        <v>505</v>
      </c>
      <c r="H19" s="28"/>
    </row>
    <row r="20" spans="1:8" x14ac:dyDescent="0.3">
      <c r="A20" s="3" t="s">
        <v>406</v>
      </c>
      <c r="B20" s="4">
        <v>13885</v>
      </c>
      <c r="C20" s="4">
        <v>4091</v>
      </c>
      <c r="D20" s="12" t="s">
        <v>816</v>
      </c>
      <c r="E20" s="4">
        <v>2822</v>
      </c>
      <c r="F20" s="12" t="s">
        <v>817</v>
      </c>
      <c r="G20" s="12" t="s">
        <v>818</v>
      </c>
      <c r="H20" s="28"/>
    </row>
    <row r="21" spans="1:8" x14ac:dyDescent="0.3">
      <c r="A21" s="3" t="s">
        <v>410</v>
      </c>
      <c r="B21" s="4">
        <v>14268</v>
      </c>
      <c r="C21" s="4">
        <v>4188</v>
      </c>
      <c r="D21" s="12" t="s">
        <v>819</v>
      </c>
      <c r="E21" s="4">
        <v>2857</v>
      </c>
      <c r="F21" s="12" t="s">
        <v>820</v>
      </c>
      <c r="G21" s="12" t="s">
        <v>821</v>
      </c>
      <c r="H21" s="28" t="s">
        <v>822</v>
      </c>
    </row>
    <row r="23" spans="1:8" ht="20.25" x14ac:dyDescent="0.35">
      <c r="A23" s="139" t="s">
        <v>823</v>
      </c>
      <c r="B23" s="116"/>
      <c r="C23" s="116"/>
      <c r="D23" s="116"/>
      <c r="E23" s="116"/>
      <c r="F23" s="116"/>
      <c r="G23" s="116"/>
      <c r="H23" s="116"/>
    </row>
    <row r="24" spans="1:8" x14ac:dyDescent="0.3">
      <c r="A24" s="2" t="s">
        <v>170</v>
      </c>
      <c r="B24" s="2" t="s">
        <v>70</v>
      </c>
      <c r="C24" s="2" t="s">
        <v>171</v>
      </c>
      <c r="D24" s="2" t="s">
        <v>824</v>
      </c>
      <c r="E24" s="2"/>
      <c r="F24" s="2"/>
      <c r="G24" s="2"/>
      <c r="H24" s="2"/>
    </row>
    <row r="25" spans="1:8" ht="40.5" x14ac:dyDescent="0.3">
      <c r="A25" s="20" t="s">
        <v>825</v>
      </c>
      <c r="B25" s="6" t="s">
        <v>826</v>
      </c>
      <c r="C25" s="6" t="s">
        <v>827</v>
      </c>
      <c r="D25" s="36" t="s">
        <v>828</v>
      </c>
      <c r="E25" s="12"/>
      <c r="F25" s="12"/>
      <c r="G25" s="12"/>
      <c r="H25" s="12"/>
    </row>
    <row r="26" spans="1:8" ht="27" x14ac:dyDescent="0.3">
      <c r="A26" s="20" t="s">
        <v>829</v>
      </c>
      <c r="B26" s="6" t="s">
        <v>830</v>
      </c>
      <c r="C26" s="6" t="s">
        <v>831</v>
      </c>
      <c r="D26" s="12" t="s">
        <v>832</v>
      </c>
      <c r="E26" s="12"/>
      <c r="F26" s="12"/>
      <c r="G26" s="12"/>
      <c r="H26" s="12"/>
    </row>
    <row r="27" spans="1:8" ht="27" x14ac:dyDescent="0.3">
      <c r="A27" s="20" t="s">
        <v>115</v>
      </c>
      <c r="B27" s="6" t="s">
        <v>833</v>
      </c>
      <c r="C27" s="6" t="s">
        <v>834</v>
      </c>
      <c r="D27" s="12" t="s">
        <v>832</v>
      </c>
      <c r="E27" s="12"/>
      <c r="F27" s="12"/>
      <c r="G27" s="12"/>
      <c r="H27" s="12"/>
    </row>
    <row r="28" spans="1:8" ht="27" x14ac:dyDescent="0.3">
      <c r="A28" s="20" t="s">
        <v>111</v>
      </c>
      <c r="B28" s="6" t="s">
        <v>835</v>
      </c>
      <c r="C28" s="6" t="s">
        <v>836</v>
      </c>
      <c r="D28" s="36" t="s">
        <v>837</v>
      </c>
      <c r="E28" s="12"/>
      <c r="F28" s="12"/>
      <c r="G28" s="12"/>
      <c r="H28" s="12"/>
    </row>
    <row r="29" spans="1:8" ht="27" x14ac:dyDescent="0.3">
      <c r="A29" s="20" t="s">
        <v>838</v>
      </c>
      <c r="B29" s="6" t="s">
        <v>839</v>
      </c>
      <c r="C29" s="6" t="s">
        <v>840</v>
      </c>
      <c r="D29" s="47" t="s">
        <v>841</v>
      </c>
      <c r="E29" s="12"/>
      <c r="F29" s="12"/>
      <c r="G29" s="12"/>
      <c r="H29" s="12"/>
    </row>
    <row r="30" spans="1:8" ht="27" x14ac:dyDescent="0.3">
      <c r="A30" s="20" t="s">
        <v>842</v>
      </c>
      <c r="B30" s="6" t="s">
        <v>843</v>
      </c>
      <c r="C30" s="6" t="s">
        <v>844</v>
      </c>
      <c r="D30" s="12" t="s">
        <v>832</v>
      </c>
      <c r="E30" s="12"/>
      <c r="F30" s="12"/>
      <c r="G30" s="12"/>
      <c r="H30" s="12"/>
    </row>
    <row r="32" spans="1:8" ht="20.25" x14ac:dyDescent="0.35">
      <c r="A32" s="139" t="s">
        <v>845</v>
      </c>
      <c r="B32" s="116"/>
      <c r="C32" s="116"/>
      <c r="D32" s="116"/>
      <c r="E32" s="116"/>
      <c r="F32" s="116"/>
      <c r="G32" s="116"/>
      <c r="H32" s="116"/>
    </row>
    <row r="33" spans="1:8" x14ac:dyDescent="0.3">
      <c r="A33" s="20" t="s">
        <v>846</v>
      </c>
      <c r="B33" s="144" t="s">
        <v>847</v>
      </c>
      <c r="C33" s="136"/>
      <c r="D33" s="136"/>
      <c r="E33" s="136"/>
      <c r="F33" s="136"/>
      <c r="G33" s="136"/>
      <c r="H33" s="119"/>
    </row>
    <row r="34" spans="1:8" x14ac:dyDescent="0.3">
      <c r="A34" s="20" t="s">
        <v>848</v>
      </c>
      <c r="B34" s="144" t="s">
        <v>849</v>
      </c>
      <c r="C34" s="136"/>
      <c r="D34" s="136"/>
      <c r="E34" s="136"/>
      <c r="F34" s="136"/>
      <c r="G34" s="136"/>
      <c r="H34" s="119"/>
    </row>
    <row r="35" spans="1:8" x14ac:dyDescent="0.3">
      <c r="A35" s="20" t="s">
        <v>850</v>
      </c>
      <c r="B35" s="144" t="s">
        <v>851</v>
      </c>
      <c r="C35" s="136"/>
      <c r="D35" s="136"/>
      <c r="E35" s="136"/>
      <c r="F35" s="136"/>
      <c r="G35" s="136"/>
      <c r="H35" s="119"/>
    </row>
    <row r="36" spans="1:8" x14ac:dyDescent="0.3">
      <c r="A36" s="20" t="s">
        <v>852</v>
      </c>
      <c r="B36" s="145" t="s">
        <v>853</v>
      </c>
      <c r="C36" s="136"/>
      <c r="D36" s="136"/>
      <c r="E36" s="136"/>
      <c r="F36" s="136"/>
      <c r="G36" s="136"/>
      <c r="H36" s="119"/>
    </row>
    <row r="37" spans="1:8" x14ac:dyDescent="0.3">
      <c r="A37" s="20" t="s">
        <v>854</v>
      </c>
      <c r="B37" s="144" t="s">
        <v>855</v>
      </c>
      <c r="C37" s="136"/>
      <c r="D37" s="136"/>
      <c r="E37" s="136"/>
      <c r="F37" s="136"/>
      <c r="G37" s="136"/>
      <c r="H37" s="119"/>
    </row>
  </sheetData>
  <mergeCells count="10">
    <mergeCell ref="A1:H1"/>
    <mergeCell ref="A23:H23"/>
    <mergeCell ref="A32:H32"/>
    <mergeCell ref="B34:H34"/>
    <mergeCell ref="B37:H37"/>
    <mergeCell ref="B36:H36"/>
    <mergeCell ref="B35:H35"/>
    <mergeCell ref="A2:H2"/>
    <mergeCell ref="A10:H10"/>
    <mergeCell ref="B33:H33"/>
  </mergeCells>
  <phoneticPr fontId="37" type="noConversion"/>
  <printOptions horizontalCentered="1"/>
  <pageMargins left="0.75" right="0.75" top="1" bottom="1" header="0.5" footer="0.5"/>
  <pageSetup scale="6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4A843"/>
    <pageSetUpPr fitToPage="1"/>
  </sheetPr>
  <dimension ref="A1:H35"/>
  <sheetViews>
    <sheetView workbookViewId="0">
      <selection sqref="A1:H1"/>
    </sheetView>
  </sheetViews>
  <sheetFormatPr defaultRowHeight="16.5" x14ac:dyDescent="0.3"/>
  <cols>
    <col min="1" max="1" width="20" customWidth="1"/>
    <col min="2" max="8" width="16" customWidth="1"/>
  </cols>
  <sheetData>
    <row r="1" spans="1:8" ht="20.25" x14ac:dyDescent="0.35">
      <c r="A1" s="139" t="s">
        <v>856</v>
      </c>
      <c r="B1" s="116"/>
      <c r="C1" s="116"/>
      <c r="D1" s="116"/>
      <c r="E1" s="116"/>
      <c r="F1" s="116"/>
      <c r="G1" s="116"/>
      <c r="H1" s="116"/>
    </row>
    <row r="2" spans="1:8" ht="20.25" x14ac:dyDescent="0.35">
      <c r="A2" s="139" t="s">
        <v>857</v>
      </c>
      <c r="B2" s="116"/>
      <c r="C2" s="116"/>
      <c r="D2" s="116"/>
      <c r="E2" s="116"/>
      <c r="F2" s="116"/>
      <c r="G2" s="116"/>
      <c r="H2" s="116"/>
    </row>
    <row r="3" spans="1:8" x14ac:dyDescent="0.3">
      <c r="A3" s="2" t="s">
        <v>170</v>
      </c>
      <c r="B3" s="2" t="s">
        <v>70</v>
      </c>
      <c r="C3" s="2" t="s">
        <v>27</v>
      </c>
      <c r="D3" s="2"/>
      <c r="E3" s="2"/>
      <c r="F3" s="2"/>
      <c r="G3" s="2"/>
      <c r="H3" s="2"/>
    </row>
    <row r="4" spans="1:8" ht="27" x14ac:dyDescent="0.3">
      <c r="A4" s="20" t="s">
        <v>11</v>
      </c>
      <c r="B4" s="6" t="s">
        <v>12</v>
      </c>
      <c r="C4" s="28" t="s">
        <v>858</v>
      </c>
      <c r="D4" s="12"/>
      <c r="E4" s="12"/>
      <c r="F4" s="12"/>
      <c r="G4" s="12"/>
      <c r="H4" s="12"/>
    </row>
    <row r="5" spans="1:8" ht="24" x14ac:dyDescent="0.3">
      <c r="A5" s="20" t="s">
        <v>859</v>
      </c>
      <c r="B5" s="6" t="s">
        <v>860</v>
      </c>
      <c r="C5" s="28" t="s">
        <v>861</v>
      </c>
      <c r="D5" s="12"/>
      <c r="E5" s="12"/>
      <c r="F5" s="12"/>
      <c r="G5" s="12"/>
      <c r="H5" s="12"/>
    </row>
    <row r="6" spans="1:8" ht="24" x14ac:dyDescent="0.3">
      <c r="A6" s="67" t="s">
        <v>862</v>
      </c>
      <c r="B6" s="6" t="s">
        <v>863</v>
      </c>
      <c r="C6" s="28" t="s">
        <v>864</v>
      </c>
      <c r="D6" s="12"/>
      <c r="E6" s="12"/>
      <c r="F6" s="12"/>
      <c r="G6" s="12"/>
      <c r="H6" s="12"/>
    </row>
    <row r="7" spans="1:8" x14ac:dyDescent="0.3">
      <c r="A7" s="20" t="s">
        <v>865</v>
      </c>
      <c r="B7" s="6" t="s">
        <v>866</v>
      </c>
      <c r="C7" s="28" t="s">
        <v>867</v>
      </c>
      <c r="D7" s="12"/>
      <c r="E7" s="12"/>
      <c r="F7" s="12"/>
      <c r="G7" s="12"/>
      <c r="H7" s="12"/>
    </row>
    <row r="8" spans="1:8" ht="27" x14ac:dyDescent="0.3">
      <c r="A8" s="20" t="s">
        <v>868</v>
      </c>
      <c r="B8" s="6" t="s">
        <v>869</v>
      </c>
      <c r="C8" s="28" t="s">
        <v>870</v>
      </c>
      <c r="D8" s="12"/>
      <c r="E8" s="12"/>
      <c r="F8" s="12"/>
      <c r="G8" s="12"/>
      <c r="H8" s="12"/>
    </row>
    <row r="10" spans="1:8" ht="20.25" x14ac:dyDescent="0.35">
      <c r="A10" s="139" t="s">
        <v>871</v>
      </c>
      <c r="B10" s="116"/>
      <c r="C10" s="116"/>
      <c r="D10" s="116"/>
      <c r="E10" s="116"/>
      <c r="F10" s="116"/>
      <c r="G10" s="116"/>
      <c r="H10" s="116"/>
    </row>
    <row r="11" spans="1:8" x14ac:dyDescent="0.3">
      <c r="A11" s="127" t="s">
        <v>872</v>
      </c>
      <c r="B11" s="136"/>
      <c r="C11" s="136"/>
      <c r="D11" s="136"/>
      <c r="E11" s="136"/>
      <c r="F11" s="136"/>
      <c r="G11" s="136"/>
      <c r="H11" s="119"/>
    </row>
    <row r="13" spans="1:8" ht="20.25" x14ac:dyDescent="0.35">
      <c r="A13" s="139" t="s">
        <v>873</v>
      </c>
      <c r="B13" s="116"/>
      <c r="C13" s="116"/>
      <c r="D13" s="116"/>
      <c r="E13" s="116"/>
      <c r="F13" s="116"/>
      <c r="G13" s="116"/>
      <c r="H13" s="116"/>
    </row>
    <row r="14" spans="1:8" x14ac:dyDescent="0.3">
      <c r="A14" s="2"/>
      <c r="B14" s="2" t="s">
        <v>874</v>
      </c>
      <c r="C14" s="2" t="s">
        <v>875</v>
      </c>
      <c r="D14" s="2" t="s">
        <v>248</v>
      </c>
      <c r="E14" s="2" t="s">
        <v>765</v>
      </c>
      <c r="F14" s="2"/>
      <c r="G14" s="2"/>
      <c r="H14" s="2"/>
    </row>
    <row r="15" spans="1:8" ht="27" x14ac:dyDescent="0.3">
      <c r="A15" s="12" t="s">
        <v>592</v>
      </c>
      <c r="B15" s="20" t="s">
        <v>876</v>
      </c>
      <c r="C15" s="6" t="s">
        <v>877</v>
      </c>
      <c r="D15" s="37" t="s">
        <v>285</v>
      </c>
      <c r="E15" s="28" t="s">
        <v>878</v>
      </c>
      <c r="F15" s="12"/>
      <c r="G15" s="12"/>
      <c r="H15" s="12"/>
    </row>
    <row r="16" spans="1:8" ht="27" x14ac:dyDescent="0.3">
      <c r="A16" s="12" t="s">
        <v>596</v>
      </c>
      <c r="B16" s="20" t="s">
        <v>879</v>
      </c>
      <c r="C16" s="6" t="s">
        <v>880</v>
      </c>
      <c r="D16" s="13" t="s">
        <v>723</v>
      </c>
      <c r="E16" s="28" t="s">
        <v>881</v>
      </c>
      <c r="F16" s="12"/>
      <c r="G16" s="12"/>
      <c r="H16" s="12"/>
    </row>
    <row r="17" spans="1:8" ht="27" x14ac:dyDescent="0.3">
      <c r="A17" s="12" t="s">
        <v>599</v>
      </c>
      <c r="B17" s="20" t="s">
        <v>744</v>
      </c>
      <c r="C17" s="6" t="s">
        <v>882</v>
      </c>
      <c r="D17" s="37" t="s">
        <v>285</v>
      </c>
      <c r="E17" s="28" t="s">
        <v>883</v>
      </c>
      <c r="F17" s="12"/>
      <c r="G17" s="12"/>
      <c r="H17" s="12"/>
    </row>
    <row r="18" spans="1:8" ht="27" x14ac:dyDescent="0.3">
      <c r="A18" s="12" t="s">
        <v>603</v>
      </c>
      <c r="B18" s="20" t="s">
        <v>746</v>
      </c>
      <c r="C18" s="6" t="s">
        <v>884</v>
      </c>
      <c r="D18" s="36" t="s">
        <v>885</v>
      </c>
      <c r="E18" s="28" t="s">
        <v>886</v>
      </c>
      <c r="F18" s="12"/>
      <c r="G18" s="12"/>
      <c r="H18" s="12"/>
    </row>
    <row r="19" spans="1:8" ht="27" x14ac:dyDescent="0.3">
      <c r="A19" s="12" t="s">
        <v>607</v>
      </c>
      <c r="B19" s="20" t="s">
        <v>887</v>
      </c>
      <c r="C19" s="6" t="s">
        <v>888</v>
      </c>
      <c r="D19" s="36" t="s">
        <v>885</v>
      </c>
      <c r="E19" s="28" t="s">
        <v>889</v>
      </c>
      <c r="F19" s="12"/>
      <c r="G19" s="12"/>
      <c r="H19" s="12"/>
    </row>
    <row r="20" spans="1:8" ht="27" x14ac:dyDescent="0.3">
      <c r="A20" s="12" t="s">
        <v>890</v>
      </c>
      <c r="B20" s="20" t="s">
        <v>216</v>
      </c>
      <c r="C20" s="6" t="s">
        <v>891</v>
      </c>
      <c r="D20" s="13" t="s">
        <v>723</v>
      </c>
      <c r="E20" s="28" t="s">
        <v>892</v>
      </c>
      <c r="F20" s="12"/>
      <c r="G20" s="12"/>
      <c r="H20" s="12"/>
    </row>
    <row r="21" spans="1:8" ht="27" x14ac:dyDescent="0.3">
      <c r="A21" s="12" t="s">
        <v>893</v>
      </c>
      <c r="B21" s="20" t="s">
        <v>894</v>
      </c>
      <c r="C21" s="6" t="s">
        <v>895</v>
      </c>
      <c r="D21" s="37" t="s">
        <v>285</v>
      </c>
      <c r="E21" s="28" t="s">
        <v>896</v>
      </c>
      <c r="F21" s="12"/>
      <c r="G21" s="12"/>
      <c r="H21" s="12"/>
    </row>
    <row r="23" spans="1:8" ht="20.25" x14ac:dyDescent="0.35">
      <c r="A23" s="139" t="s">
        <v>897</v>
      </c>
      <c r="B23" s="116"/>
      <c r="C23" s="116"/>
      <c r="D23" s="116"/>
      <c r="E23" s="116"/>
      <c r="F23" s="116"/>
      <c r="G23" s="116"/>
      <c r="H23" s="116"/>
    </row>
    <row r="24" spans="1:8" x14ac:dyDescent="0.3">
      <c r="A24" s="20" t="s">
        <v>155</v>
      </c>
      <c r="B24" s="146" t="s">
        <v>156</v>
      </c>
      <c r="C24" s="136"/>
      <c r="D24" s="119"/>
    </row>
    <row r="25" spans="1:8" x14ac:dyDescent="0.3">
      <c r="A25" s="20" t="s">
        <v>157</v>
      </c>
      <c r="B25" s="146" t="s">
        <v>158</v>
      </c>
      <c r="C25" s="136"/>
      <c r="D25" s="119"/>
    </row>
    <row r="26" spans="1:8" x14ac:dyDescent="0.3">
      <c r="A26" s="20" t="s">
        <v>159</v>
      </c>
      <c r="B26" s="146" t="s">
        <v>160</v>
      </c>
      <c r="C26" s="136"/>
      <c r="D26" s="119"/>
    </row>
    <row r="27" spans="1:8" ht="27" x14ac:dyDescent="0.3">
      <c r="A27" s="20" t="s">
        <v>164</v>
      </c>
      <c r="B27" s="146" t="s">
        <v>898</v>
      </c>
      <c r="C27" s="136"/>
      <c r="D27" s="119"/>
    </row>
    <row r="28" spans="1:8" x14ac:dyDescent="0.3">
      <c r="A28" s="20" t="s">
        <v>899</v>
      </c>
      <c r="B28" s="146" t="s">
        <v>900</v>
      </c>
      <c r="C28" s="136"/>
      <c r="D28" s="119"/>
    </row>
    <row r="30" spans="1:8" ht="20.25" x14ac:dyDescent="0.35">
      <c r="A30" s="139" t="s">
        <v>901</v>
      </c>
      <c r="B30" s="116"/>
      <c r="C30" s="116"/>
      <c r="D30" s="116"/>
      <c r="E30" s="116"/>
      <c r="F30" s="116"/>
      <c r="G30" s="116"/>
      <c r="H30" s="116"/>
    </row>
    <row r="31" spans="1:8" x14ac:dyDescent="0.3">
      <c r="A31" s="20" t="s">
        <v>902</v>
      </c>
      <c r="B31" s="144" t="s">
        <v>903</v>
      </c>
      <c r="C31" s="136"/>
      <c r="D31" s="136"/>
      <c r="E31" s="136"/>
      <c r="F31" s="136"/>
      <c r="G31" s="136"/>
      <c r="H31" s="119"/>
    </row>
    <row r="32" spans="1:8" x14ac:dyDescent="0.3">
      <c r="A32" s="20" t="s">
        <v>904</v>
      </c>
      <c r="B32" s="144" t="s">
        <v>905</v>
      </c>
      <c r="C32" s="136"/>
      <c r="D32" s="136"/>
      <c r="E32" s="136"/>
      <c r="F32" s="136"/>
      <c r="G32" s="136"/>
      <c r="H32" s="119"/>
    </row>
    <row r="33" spans="1:8" x14ac:dyDescent="0.3">
      <c r="A33" s="20" t="s">
        <v>906</v>
      </c>
      <c r="B33" s="144" t="s">
        <v>907</v>
      </c>
      <c r="C33" s="136"/>
      <c r="D33" s="136"/>
      <c r="E33" s="136"/>
      <c r="F33" s="136"/>
      <c r="G33" s="136"/>
      <c r="H33" s="119"/>
    </row>
    <row r="34" spans="1:8" x14ac:dyDescent="0.3">
      <c r="A34" s="20" t="s">
        <v>908</v>
      </c>
      <c r="B34" s="144" t="s">
        <v>909</v>
      </c>
      <c r="C34" s="136"/>
      <c r="D34" s="136"/>
      <c r="E34" s="136"/>
      <c r="F34" s="136"/>
      <c r="G34" s="136"/>
      <c r="H34" s="119"/>
    </row>
    <row r="35" spans="1:8" x14ac:dyDescent="0.3">
      <c r="A35" s="20" t="s">
        <v>854</v>
      </c>
      <c r="B35" s="144" t="s">
        <v>910</v>
      </c>
      <c r="C35" s="136"/>
      <c r="D35" s="136"/>
      <c r="E35" s="136"/>
      <c r="F35" s="136"/>
      <c r="G35" s="136"/>
      <c r="H35" s="119"/>
    </row>
  </sheetData>
  <mergeCells count="17">
    <mergeCell ref="B35:H35"/>
    <mergeCell ref="A2:H2"/>
    <mergeCell ref="A10:H10"/>
    <mergeCell ref="B26:D26"/>
    <mergeCell ref="B27:D27"/>
    <mergeCell ref="A13:H13"/>
    <mergeCell ref="A11:H11"/>
    <mergeCell ref="B33:H33"/>
    <mergeCell ref="A1:H1"/>
    <mergeCell ref="A23:H23"/>
    <mergeCell ref="B25:D25"/>
    <mergeCell ref="B34:H34"/>
    <mergeCell ref="B24:D24"/>
    <mergeCell ref="B31:H31"/>
    <mergeCell ref="B28:D28"/>
    <mergeCell ref="B32:H32"/>
    <mergeCell ref="A30:H30"/>
  </mergeCells>
  <phoneticPr fontId="37" type="noConversion"/>
  <printOptions horizontalCentered="1"/>
  <pageMargins left="0.75" right="0.75" top="1" bottom="1" header="0.5" footer="0.5"/>
  <pageSetup scale="6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74C3C"/>
    <pageSetUpPr fitToPage="1"/>
  </sheetPr>
  <dimension ref="A1:H47"/>
  <sheetViews>
    <sheetView workbookViewId="0">
      <selection sqref="A1:H1"/>
    </sheetView>
  </sheetViews>
  <sheetFormatPr defaultRowHeight="16.5" x14ac:dyDescent="0.3"/>
  <cols>
    <col min="1" max="8" width="14" customWidth="1"/>
  </cols>
  <sheetData>
    <row r="1" spans="1:8" ht="20.25" x14ac:dyDescent="0.35">
      <c r="A1" s="139" t="s">
        <v>911</v>
      </c>
      <c r="B1" s="116"/>
      <c r="C1" s="116"/>
      <c r="D1" s="116"/>
      <c r="E1" s="116"/>
      <c r="F1" s="116"/>
      <c r="G1" s="116"/>
      <c r="H1" s="116"/>
    </row>
    <row r="2" spans="1:8" ht="20.25" x14ac:dyDescent="0.35">
      <c r="A2" s="139" t="s">
        <v>912</v>
      </c>
      <c r="B2" s="116"/>
      <c r="C2" s="116"/>
      <c r="D2" s="116"/>
      <c r="E2" s="116"/>
      <c r="F2" s="116"/>
      <c r="G2" s="116"/>
      <c r="H2" s="116"/>
    </row>
    <row r="3" spans="1:8" x14ac:dyDescent="0.3">
      <c r="A3" s="2" t="s">
        <v>20</v>
      </c>
      <c r="B3" s="2" t="s">
        <v>141</v>
      </c>
      <c r="C3" s="2" t="s">
        <v>24</v>
      </c>
      <c r="D3" s="2" t="s">
        <v>913</v>
      </c>
      <c r="E3" s="2" t="s">
        <v>914</v>
      </c>
      <c r="F3" s="2" t="s">
        <v>27</v>
      </c>
      <c r="G3" s="2"/>
      <c r="H3" s="2"/>
    </row>
    <row r="4" spans="1:8" x14ac:dyDescent="0.3">
      <c r="A4" s="3" t="s">
        <v>787</v>
      </c>
      <c r="B4" s="27">
        <v>980</v>
      </c>
      <c r="C4" s="5">
        <v>2178</v>
      </c>
      <c r="D4" s="12" t="s">
        <v>31</v>
      </c>
      <c r="E4" s="39" t="s">
        <v>915</v>
      </c>
      <c r="F4" s="28" t="s">
        <v>916</v>
      </c>
      <c r="G4" s="12"/>
      <c r="H4" s="12"/>
    </row>
    <row r="5" spans="1:8" x14ac:dyDescent="0.3">
      <c r="A5" s="3" t="s">
        <v>792</v>
      </c>
      <c r="B5" s="27">
        <v>990</v>
      </c>
      <c r="C5" s="5">
        <v>2242</v>
      </c>
      <c r="D5" s="12" t="s">
        <v>32</v>
      </c>
      <c r="E5" s="39" t="s">
        <v>917</v>
      </c>
      <c r="F5" s="28"/>
      <c r="G5" s="12"/>
      <c r="H5" s="12"/>
    </row>
    <row r="6" spans="1:8" x14ac:dyDescent="0.3">
      <c r="A6" s="3" t="s">
        <v>796</v>
      </c>
      <c r="B6" s="27">
        <v>990</v>
      </c>
      <c r="C6" s="5">
        <v>2159</v>
      </c>
      <c r="D6" s="12" t="s">
        <v>33</v>
      </c>
      <c r="E6" s="12" t="s">
        <v>918</v>
      </c>
      <c r="F6" s="28"/>
      <c r="G6" s="12"/>
      <c r="H6" s="12"/>
    </row>
    <row r="7" spans="1:8" x14ac:dyDescent="0.3">
      <c r="A7" s="3" t="s">
        <v>800</v>
      </c>
      <c r="B7" s="27">
        <v>900</v>
      </c>
      <c r="C7" s="5">
        <v>1467</v>
      </c>
      <c r="D7" s="12" t="s">
        <v>39</v>
      </c>
      <c r="E7" s="66" t="s">
        <v>919</v>
      </c>
      <c r="F7" s="28"/>
      <c r="G7" s="12"/>
      <c r="H7" s="12"/>
    </row>
    <row r="8" spans="1:8" x14ac:dyDescent="0.3">
      <c r="A8" s="3" t="s">
        <v>391</v>
      </c>
      <c r="B8" s="27">
        <v>900</v>
      </c>
      <c r="C8" s="5">
        <v>1651</v>
      </c>
      <c r="D8" s="12" t="s">
        <v>35</v>
      </c>
      <c r="E8" s="12" t="s">
        <v>918</v>
      </c>
      <c r="F8" s="28"/>
      <c r="G8" s="12"/>
      <c r="H8" s="12"/>
    </row>
    <row r="9" spans="1:8" x14ac:dyDescent="0.3">
      <c r="A9" s="3" t="s">
        <v>395</v>
      </c>
      <c r="B9" s="29" t="s">
        <v>36</v>
      </c>
      <c r="C9" s="5">
        <v>-1361</v>
      </c>
      <c r="D9" s="12" t="s">
        <v>36</v>
      </c>
      <c r="E9" s="12"/>
      <c r="F9" s="28" t="s">
        <v>920</v>
      </c>
      <c r="G9" s="12"/>
      <c r="H9" s="12"/>
    </row>
    <row r="10" spans="1:8" x14ac:dyDescent="0.3">
      <c r="A10" s="3" t="s">
        <v>398</v>
      </c>
      <c r="B10" s="29" t="s">
        <v>36</v>
      </c>
      <c r="C10" s="5">
        <v>-52</v>
      </c>
      <c r="D10" s="12" t="s">
        <v>36</v>
      </c>
      <c r="E10" s="12"/>
      <c r="F10" s="28" t="s">
        <v>920</v>
      </c>
      <c r="G10" s="12"/>
      <c r="H10" s="12"/>
    </row>
    <row r="11" spans="1:8" ht="24" x14ac:dyDescent="0.3">
      <c r="A11" s="3" t="s">
        <v>402</v>
      </c>
      <c r="B11" s="27">
        <v>350</v>
      </c>
      <c r="C11" s="5">
        <v>570</v>
      </c>
      <c r="D11" s="12" t="s">
        <v>39</v>
      </c>
      <c r="E11" s="39" t="s">
        <v>915</v>
      </c>
      <c r="F11" s="28" t="s">
        <v>921</v>
      </c>
      <c r="G11" s="12"/>
      <c r="H11" s="12"/>
    </row>
    <row r="12" spans="1:8" x14ac:dyDescent="0.3">
      <c r="A12" s="3" t="s">
        <v>406</v>
      </c>
      <c r="B12" s="27">
        <v>930</v>
      </c>
      <c r="C12" s="5">
        <v>1681</v>
      </c>
      <c r="D12" s="12" t="s">
        <v>41</v>
      </c>
      <c r="E12" s="39" t="s">
        <v>917</v>
      </c>
      <c r="F12" s="28" t="s">
        <v>922</v>
      </c>
      <c r="G12" s="12"/>
      <c r="H12" s="12"/>
    </row>
    <row r="13" spans="1:8" x14ac:dyDescent="0.3">
      <c r="A13" s="3" t="s">
        <v>410</v>
      </c>
      <c r="B13" s="27">
        <v>1170</v>
      </c>
      <c r="C13" s="5">
        <v>2257</v>
      </c>
      <c r="D13" s="12" t="s">
        <v>923</v>
      </c>
      <c r="E13" s="39" t="s">
        <v>917</v>
      </c>
      <c r="F13" s="28" t="s">
        <v>924</v>
      </c>
      <c r="G13" s="12"/>
      <c r="H13" s="12"/>
    </row>
    <row r="14" spans="1:8" ht="24" x14ac:dyDescent="0.3">
      <c r="A14" s="42" t="s">
        <v>925</v>
      </c>
      <c r="B14" s="45">
        <v>1300</v>
      </c>
      <c r="C14" s="41" t="s">
        <v>36</v>
      </c>
      <c r="D14" s="17" t="s">
        <v>36</v>
      </c>
      <c r="E14" s="36" t="s">
        <v>917</v>
      </c>
      <c r="F14" s="68" t="s">
        <v>926</v>
      </c>
      <c r="G14" s="17"/>
      <c r="H14" s="17"/>
    </row>
    <row r="16" spans="1:8" ht="20.25" x14ac:dyDescent="0.35">
      <c r="A16" s="139" t="s">
        <v>927</v>
      </c>
      <c r="B16" s="116"/>
      <c r="C16" s="116"/>
      <c r="D16" s="116"/>
      <c r="E16" s="116"/>
      <c r="F16" s="116"/>
      <c r="G16" s="116"/>
      <c r="H16" s="116"/>
    </row>
    <row r="17" spans="1:8" x14ac:dyDescent="0.3">
      <c r="A17" s="2" t="s">
        <v>20</v>
      </c>
      <c r="B17" s="2" t="s">
        <v>928</v>
      </c>
      <c r="C17" s="2" t="s">
        <v>929</v>
      </c>
      <c r="D17" s="2" t="s">
        <v>930</v>
      </c>
      <c r="E17" s="2" t="s">
        <v>931</v>
      </c>
      <c r="F17" s="2" t="s">
        <v>932</v>
      </c>
      <c r="G17" s="2" t="s">
        <v>27</v>
      </c>
      <c r="H17" s="2"/>
    </row>
    <row r="18" spans="1:8" x14ac:dyDescent="0.3">
      <c r="A18" s="3" t="s">
        <v>933</v>
      </c>
      <c r="B18" s="5" t="s">
        <v>934</v>
      </c>
      <c r="C18" s="27" t="s">
        <v>935</v>
      </c>
      <c r="D18" s="29" t="s">
        <v>935</v>
      </c>
      <c r="E18" s="5" t="s">
        <v>36</v>
      </c>
      <c r="F18" s="69" t="s">
        <v>934</v>
      </c>
      <c r="G18" s="28" t="s">
        <v>936</v>
      </c>
      <c r="H18" s="12"/>
    </row>
    <row r="19" spans="1:8" x14ac:dyDescent="0.3">
      <c r="A19" s="3" t="s">
        <v>937</v>
      </c>
      <c r="B19" s="5" t="s">
        <v>934</v>
      </c>
      <c r="C19" s="5" t="s">
        <v>36</v>
      </c>
      <c r="D19" s="5" t="s">
        <v>36</v>
      </c>
      <c r="E19" s="5" t="s">
        <v>36</v>
      </c>
      <c r="F19" s="69" t="s">
        <v>934</v>
      </c>
      <c r="G19" s="28"/>
      <c r="H19" s="12"/>
    </row>
    <row r="20" spans="1:8" x14ac:dyDescent="0.3">
      <c r="A20" s="3" t="s">
        <v>787</v>
      </c>
      <c r="B20" s="5" t="s">
        <v>934</v>
      </c>
      <c r="C20" s="5" t="s">
        <v>36</v>
      </c>
      <c r="D20" s="5" t="s">
        <v>36</v>
      </c>
      <c r="E20" s="5" t="s">
        <v>36</v>
      </c>
      <c r="F20" s="69" t="s">
        <v>934</v>
      </c>
      <c r="G20" s="28"/>
      <c r="H20" s="12"/>
    </row>
    <row r="21" spans="1:8" x14ac:dyDescent="0.3">
      <c r="A21" s="3" t="s">
        <v>792</v>
      </c>
      <c r="B21" s="5" t="s">
        <v>934</v>
      </c>
      <c r="C21" s="5" t="s">
        <v>36</v>
      </c>
      <c r="D21" s="5" t="s">
        <v>36</v>
      </c>
      <c r="E21" s="5" t="s">
        <v>36</v>
      </c>
      <c r="F21" s="69" t="s">
        <v>934</v>
      </c>
      <c r="G21" s="28"/>
      <c r="H21" s="12"/>
    </row>
    <row r="22" spans="1:8" x14ac:dyDescent="0.3">
      <c r="A22" s="3" t="s">
        <v>796</v>
      </c>
      <c r="B22" s="5" t="s">
        <v>934</v>
      </c>
      <c r="C22" s="5" t="s">
        <v>36</v>
      </c>
      <c r="D22" s="5" t="s">
        <v>36</v>
      </c>
      <c r="E22" s="5" t="s">
        <v>36</v>
      </c>
      <c r="F22" s="69" t="s">
        <v>934</v>
      </c>
      <c r="G22" s="28"/>
      <c r="H22" s="12"/>
    </row>
    <row r="23" spans="1:8" x14ac:dyDescent="0.3">
      <c r="A23" s="3" t="s">
        <v>800</v>
      </c>
      <c r="B23" s="5" t="s">
        <v>934</v>
      </c>
      <c r="C23" s="5" t="s">
        <v>36</v>
      </c>
      <c r="D23" s="5" t="s">
        <v>36</v>
      </c>
      <c r="E23" s="5" t="s">
        <v>36</v>
      </c>
      <c r="F23" s="69" t="s">
        <v>934</v>
      </c>
      <c r="G23" s="28"/>
      <c r="H23" s="12"/>
    </row>
    <row r="24" spans="1:8" x14ac:dyDescent="0.3">
      <c r="A24" s="3" t="s">
        <v>391</v>
      </c>
      <c r="B24" s="5" t="s">
        <v>934</v>
      </c>
      <c r="C24" s="5" t="s">
        <v>36</v>
      </c>
      <c r="D24" s="5" t="s">
        <v>36</v>
      </c>
      <c r="E24" s="5" t="s">
        <v>36</v>
      </c>
      <c r="F24" s="69" t="s">
        <v>934</v>
      </c>
      <c r="G24" s="28"/>
      <c r="H24" s="12"/>
    </row>
    <row r="25" spans="1:8" x14ac:dyDescent="0.3">
      <c r="A25" s="3" t="s">
        <v>395</v>
      </c>
      <c r="B25" s="5" t="s">
        <v>934</v>
      </c>
      <c r="C25" s="5" t="s">
        <v>36</v>
      </c>
      <c r="D25" s="5" t="s">
        <v>36</v>
      </c>
      <c r="E25" s="5" t="s">
        <v>36</v>
      </c>
      <c r="F25" s="69" t="s">
        <v>934</v>
      </c>
      <c r="G25" s="28"/>
      <c r="H25" s="12"/>
    </row>
    <row r="26" spans="1:8" x14ac:dyDescent="0.3">
      <c r="A26" s="3" t="s">
        <v>398</v>
      </c>
      <c r="B26" s="5" t="s">
        <v>934</v>
      </c>
      <c r="C26" s="5" t="s">
        <v>36</v>
      </c>
      <c r="D26" s="5" t="s">
        <v>36</v>
      </c>
      <c r="E26" s="5" t="s">
        <v>36</v>
      </c>
      <c r="F26" s="69" t="s">
        <v>934</v>
      </c>
      <c r="G26" s="28"/>
      <c r="H26" s="12"/>
    </row>
    <row r="27" spans="1:8" x14ac:dyDescent="0.3">
      <c r="A27" s="3" t="s">
        <v>402</v>
      </c>
      <c r="B27" s="5" t="s">
        <v>934</v>
      </c>
      <c r="C27" s="5" t="s">
        <v>36</v>
      </c>
      <c r="D27" s="5" t="s">
        <v>36</v>
      </c>
      <c r="E27" s="5" t="s">
        <v>36</v>
      </c>
      <c r="F27" s="69" t="s">
        <v>934</v>
      </c>
      <c r="G27" s="28"/>
      <c r="H27" s="12"/>
    </row>
    <row r="28" spans="1:8" x14ac:dyDescent="0.3">
      <c r="A28" s="3" t="s">
        <v>410</v>
      </c>
      <c r="B28" s="5" t="s">
        <v>934</v>
      </c>
      <c r="C28" s="27" t="s">
        <v>938</v>
      </c>
      <c r="D28" s="5" t="s">
        <v>36</v>
      </c>
      <c r="E28" s="5" t="s">
        <v>36</v>
      </c>
      <c r="F28" s="69" t="s">
        <v>939</v>
      </c>
      <c r="G28" s="28" t="s">
        <v>936</v>
      </c>
      <c r="H28" s="12"/>
    </row>
    <row r="29" spans="1:8" ht="24" x14ac:dyDescent="0.3">
      <c r="A29" s="42" t="s">
        <v>940</v>
      </c>
      <c r="B29" s="41" t="s">
        <v>939</v>
      </c>
      <c r="C29" s="45" t="s">
        <v>941</v>
      </c>
      <c r="D29" s="41" t="s">
        <v>36</v>
      </c>
      <c r="E29" s="41" t="s">
        <v>36</v>
      </c>
      <c r="F29" s="41" t="s">
        <v>36</v>
      </c>
      <c r="G29" s="68" t="s">
        <v>942</v>
      </c>
      <c r="H29" s="17"/>
    </row>
    <row r="31" spans="1:8" ht="20.25" x14ac:dyDescent="0.35">
      <c r="A31" s="139" t="s">
        <v>943</v>
      </c>
      <c r="B31" s="116"/>
      <c r="C31" s="116"/>
      <c r="D31" s="116"/>
      <c r="E31" s="116"/>
      <c r="F31" s="116"/>
      <c r="G31" s="116"/>
      <c r="H31" s="116"/>
    </row>
    <row r="32" spans="1:8" x14ac:dyDescent="0.3">
      <c r="A32" s="2" t="s">
        <v>643</v>
      </c>
      <c r="B32" s="2" t="s">
        <v>944</v>
      </c>
      <c r="C32" s="2" t="s">
        <v>70</v>
      </c>
      <c r="D32" s="2"/>
      <c r="E32" s="2"/>
      <c r="F32" s="2"/>
      <c r="G32" s="2"/>
      <c r="H32" s="2"/>
    </row>
    <row r="33" spans="1:8" ht="40.5" x14ac:dyDescent="0.3">
      <c r="A33" s="38" t="s">
        <v>945</v>
      </c>
      <c r="B33" s="39" t="s">
        <v>946</v>
      </c>
      <c r="C33" s="6" t="s">
        <v>947</v>
      </c>
      <c r="D33" s="12"/>
      <c r="E33" s="12"/>
      <c r="F33" s="12"/>
      <c r="G33" s="12"/>
      <c r="H33" s="12"/>
    </row>
    <row r="34" spans="1:8" ht="40.5" x14ac:dyDescent="0.3">
      <c r="A34" s="38" t="s">
        <v>948</v>
      </c>
      <c r="B34" s="33" t="s">
        <v>157</v>
      </c>
      <c r="C34" s="6" t="s">
        <v>949</v>
      </c>
      <c r="D34" s="12"/>
      <c r="E34" s="12"/>
      <c r="F34" s="12"/>
      <c r="G34" s="12"/>
      <c r="H34" s="12"/>
    </row>
    <row r="35" spans="1:8" ht="40.5" x14ac:dyDescent="0.3">
      <c r="A35" s="38" t="s">
        <v>950</v>
      </c>
      <c r="B35" s="33" t="s">
        <v>951</v>
      </c>
      <c r="C35" s="6" t="s">
        <v>952</v>
      </c>
      <c r="D35" s="12"/>
      <c r="E35" s="12"/>
      <c r="F35" s="12"/>
      <c r="G35" s="12"/>
      <c r="H35" s="12"/>
    </row>
    <row r="36" spans="1:8" ht="54" x14ac:dyDescent="0.3">
      <c r="A36" s="38" t="s">
        <v>953</v>
      </c>
      <c r="B36" s="39" t="s">
        <v>946</v>
      </c>
      <c r="C36" s="6" t="s">
        <v>954</v>
      </c>
      <c r="D36" s="12"/>
      <c r="E36" s="12"/>
      <c r="F36" s="12"/>
      <c r="G36" s="12"/>
      <c r="H36" s="12"/>
    </row>
    <row r="37" spans="1:8" ht="27" x14ac:dyDescent="0.3">
      <c r="A37" s="38" t="s">
        <v>955</v>
      </c>
      <c r="B37" s="33" t="s">
        <v>157</v>
      </c>
      <c r="C37" s="6" t="s">
        <v>956</v>
      </c>
      <c r="D37" s="12"/>
      <c r="E37" s="12"/>
      <c r="F37" s="12"/>
      <c r="G37" s="12"/>
      <c r="H37" s="12"/>
    </row>
    <row r="39" spans="1:8" ht="20.25" x14ac:dyDescent="0.35">
      <c r="A39" s="139" t="s">
        <v>957</v>
      </c>
      <c r="B39" s="116"/>
      <c r="C39" s="116"/>
      <c r="D39" s="116"/>
      <c r="E39" s="116"/>
      <c r="F39" s="116"/>
      <c r="G39" s="116"/>
      <c r="H39" s="116"/>
    </row>
    <row r="40" spans="1:8" x14ac:dyDescent="0.3">
      <c r="A40" s="147" t="s">
        <v>958</v>
      </c>
      <c r="B40" s="136"/>
      <c r="C40" s="136"/>
      <c r="D40" s="136"/>
      <c r="E40" s="136"/>
      <c r="F40" s="136"/>
      <c r="G40" s="136"/>
      <c r="H40" s="119"/>
    </row>
    <row r="42" spans="1:8" ht="20.25" x14ac:dyDescent="0.35">
      <c r="A42" s="139" t="s">
        <v>959</v>
      </c>
      <c r="B42" s="116"/>
      <c r="C42" s="116"/>
      <c r="D42" s="116"/>
      <c r="E42" s="116"/>
      <c r="F42" s="116"/>
      <c r="G42" s="116"/>
      <c r="H42" s="116"/>
    </row>
    <row r="43" spans="1:8" ht="67.5" x14ac:dyDescent="0.3">
      <c r="A43" s="20" t="s">
        <v>960</v>
      </c>
      <c r="B43" s="37" t="s">
        <v>724</v>
      </c>
      <c r="C43" s="6" t="s">
        <v>961</v>
      </c>
      <c r="D43" s="12"/>
      <c r="E43" s="12"/>
      <c r="F43" s="12"/>
      <c r="G43" s="12"/>
      <c r="H43" s="12"/>
    </row>
    <row r="44" spans="1:8" ht="54" x14ac:dyDescent="0.3">
      <c r="A44" s="20" t="s">
        <v>962</v>
      </c>
      <c r="B44" s="37" t="s">
        <v>724</v>
      </c>
      <c r="C44" s="6" t="s">
        <v>963</v>
      </c>
      <c r="D44" s="12"/>
      <c r="E44" s="12"/>
      <c r="F44" s="12"/>
      <c r="G44" s="12"/>
      <c r="H44" s="12"/>
    </row>
    <row r="45" spans="1:8" ht="40.5" x14ac:dyDescent="0.3">
      <c r="A45" s="20" t="s">
        <v>964</v>
      </c>
      <c r="B45" s="36" t="s">
        <v>716</v>
      </c>
      <c r="C45" s="6" t="s">
        <v>965</v>
      </c>
      <c r="D45" s="12"/>
      <c r="E45" s="12"/>
      <c r="F45" s="12"/>
      <c r="G45" s="12"/>
      <c r="H45" s="12"/>
    </row>
    <row r="46" spans="1:8" ht="40.5" x14ac:dyDescent="0.3">
      <c r="A46" s="20" t="s">
        <v>966</v>
      </c>
      <c r="B46" s="37" t="s">
        <v>724</v>
      </c>
      <c r="C46" s="6" t="s">
        <v>967</v>
      </c>
      <c r="D46" s="12"/>
      <c r="E46" s="12"/>
      <c r="F46" s="12"/>
      <c r="G46" s="12"/>
      <c r="H46" s="12"/>
    </row>
    <row r="47" spans="1:8" ht="54" x14ac:dyDescent="0.3">
      <c r="A47" s="20" t="s">
        <v>142</v>
      </c>
      <c r="B47" s="36" t="s">
        <v>716</v>
      </c>
      <c r="C47" s="6" t="s">
        <v>968</v>
      </c>
      <c r="D47" s="12"/>
      <c r="E47" s="12"/>
      <c r="F47" s="12"/>
      <c r="G47" s="12"/>
      <c r="H47" s="12"/>
    </row>
  </sheetData>
  <mergeCells count="7">
    <mergeCell ref="A39:H39"/>
    <mergeCell ref="A2:H2"/>
    <mergeCell ref="A16:H16"/>
    <mergeCell ref="A42:H42"/>
    <mergeCell ref="A1:H1"/>
    <mergeCell ref="A31:H31"/>
    <mergeCell ref="A40:H40"/>
  </mergeCells>
  <phoneticPr fontId="37" type="noConversion"/>
  <printOptions horizontalCentered="1"/>
  <pageMargins left="0.75" right="0.75" top="1" bottom="1" header="0.5" footer="0.5"/>
  <pageSetup scale="5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E44AD"/>
    <pageSetUpPr fitToPage="1"/>
  </sheetPr>
  <dimension ref="A1:H42"/>
  <sheetViews>
    <sheetView workbookViewId="0">
      <selection sqref="A1:H1"/>
    </sheetView>
  </sheetViews>
  <sheetFormatPr defaultRowHeight="16.5" x14ac:dyDescent="0.3"/>
  <cols>
    <col min="1" max="8" width="14" customWidth="1"/>
  </cols>
  <sheetData>
    <row r="1" spans="1:8" ht="20.25" x14ac:dyDescent="0.35">
      <c r="A1" s="139" t="s">
        <v>969</v>
      </c>
      <c r="B1" s="116"/>
      <c r="C1" s="116"/>
      <c r="D1" s="116"/>
      <c r="E1" s="116"/>
      <c r="F1" s="116"/>
      <c r="G1" s="116"/>
      <c r="H1" s="116"/>
    </row>
    <row r="2" spans="1:8" ht="20.25" x14ac:dyDescent="0.35">
      <c r="A2" s="139" t="s">
        <v>970</v>
      </c>
      <c r="B2" s="116"/>
      <c r="C2" s="116"/>
      <c r="D2" s="116"/>
      <c r="E2" s="116"/>
      <c r="F2" s="116"/>
      <c r="G2" s="116"/>
      <c r="H2" s="116"/>
    </row>
    <row r="3" spans="1:8" x14ac:dyDescent="0.3">
      <c r="A3" s="2" t="s">
        <v>20</v>
      </c>
      <c r="B3" s="2" t="s">
        <v>971</v>
      </c>
      <c r="C3" s="2" t="s">
        <v>972</v>
      </c>
      <c r="D3" s="2" t="s">
        <v>973</v>
      </c>
      <c r="E3" s="2" t="s">
        <v>30</v>
      </c>
      <c r="F3" s="2" t="s">
        <v>974</v>
      </c>
      <c r="G3" s="2" t="s">
        <v>27</v>
      </c>
      <c r="H3" s="2"/>
    </row>
    <row r="4" spans="1:8" x14ac:dyDescent="0.3">
      <c r="A4" s="3" t="s">
        <v>395</v>
      </c>
      <c r="B4" s="66" t="s">
        <v>975</v>
      </c>
      <c r="C4" s="12" t="s">
        <v>976</v>
      </c>
      <c r="D4" s="12" t="s">
        <v>977</v>
      </c>
      <c r="E4" s="66" t="s">
        <v>978</v>
      </c>
      <c r="F4" s="28">
        <f>-57.6*0.13*1.12</f>
        <v>-8.3865600000000011</v>
      </c>
      <c r="G4" s="28" t="s">
        <v>979</v>
      </c>
      <c r="H4" s="12"/>
    </row>
    <row r="5" spans="1:8" x14ac:dyDescent="0.3">
      <c r="A5" s="3" t="s">
        <v>398</v>
      </c>
      <c r="B5" s="66" t="s">
        <v>812</v>
      </c>
      <c r="C5" s="12" t="s">
        <v>980</v>
      </c>
      <c r="D5" s="12" t="s">
        <v>981</v>
      </c>
      <c r="E5" s="66" t="s">
        <v>982</v>
      </c>
      <c r="F5" s="28">
        <f>-1.3*0.21*1.18</f>
        <v>-0.32213999999999998</v>
      </c>
      <c r="G5" s="28"/>
      <c r="H5" s="12"/>
    </row>
    <row r="6" spans="1:8" x14ac:dyDescent="0.3">
      <c r="A6" s="3" t="s">
        <v>402</v>
      </c>
      <c r="B6" s="12" t="s">
        <v>983</v>
      </c>
      <c r="C6" s="12" t="s">
        <v>984</v>
      </c>
      <c r="D6" s="12" t="s">
        <v>985</v>
      </c>
      <c r="E6" s="12" t="s">
        <v>986</v>
      </c>
      <c r="F6" s="28">
        <f>9.1*0.3*1.22</f>
        <v>3.3306</v>
      </c>
      <c r="G6" s="28"/>
      <c r="H6" s="12"/>
    </row>
    <row r="7" spans="1:8" x14ac:dyDescent="0.3">
      <c r="A7" s="3" t="s">
        <v>406</v>
      </c>
      <c r="B7" s="39" t="s">
        <v>987</v>
      </c>
      <c r="C7" s="12" t="s">
        <v>988</v>
      </c>
      <c r="D7" s="12" t="s">
        <v>989</v>
      </c>
      <c r="E7" s="12" t="s">
        <v>990</v>
      </c>
      <c r="F7" s="28">
        <f>24.6*0.31*1.21</f>
        <v>9.2274600000000007</v>
      </c>
      <c r="G7" s="28"/>
      <c r="H7" s="12"/>
    </row>
    <row r="8" spans="1:8" x14ac:dyDescent="0.3">
      <c r="A8" s="3" t="s">
        <v>410</v>
      </c>
      <c r="B8" s="39" t="s">
        <v>991</v>
      </c>
      <c r="C8" s="12" t="s">
        <v>984</v>
      </c>
      <c r="D8" s="12" t="s">
        <v>989</v>
      </c>
      <c r="E8" s="39" t="s">
        <v>799</v>
      </c>
      <c r="F8" s="28">
        <f>32*0.3*1.21</f>
        <v>11.616</v>
      </c>
      <c r="G8" s="28" t="s">
        <v>992</v>
      </c>
      <c r="H8" s="12"/>
    </row>
    <row r="10" spans="1:8" x14ac:dyDescent="0.3">
      <c r="A10" s="148" t="s">
        <v>993</v>
      </c>
      <c r="B10" s="136"/>
      <c r="C10" s="136"/>
      <c r="D10" s="136"/>
      <c r="E10" s="136"/>
      <c r="F10" s="136"/>
      <c r="G10" s="136"/>
      <c r="H10" s="119"/>
    </row>
    <row r="12" spans="1:8" ht="20.25" x14ac:dyDescent="0.35">
      <c r="A12" s="139" t="s">
        <v>994</v>
      </c>
      <c r="B12" s="116"/>
      <c r="C12" s="116"/>
      <c r="D12" s="116"/>
      <c r="E12" s="116"/>
      <c r="F12" s="116"/>
      <c r="G12" s="116"/>
      <c r="H12" s="116"/>
    </row>
    <row r="13" spans="1:8" x14ac:dyDescent="0.3">
      <c r="A13" s="2" t="s">
        <v>20</v>
      </c>
      <c r="B13" s="2" t="s">
        <v>296</v>
      </c>
      <c r="C13" s="2" t="s">
        <v>995</v>
      </c>
      <c r="D13" s="2" t="s">
        <v>996</v>
      </c>
      <c r="E13" s="2" t="s">
        <v>997</v>
      </c>
      <c r="F13" s="2" t="s">
        <v>998</v>
      </c>
      <c r="G13" s="2" t="s">
        <v>248</v>
      </c>
      <c r="H13" s="2"/>
    </row>
    <row r="14" spans="1:8" x14ac:dyDescent="0.3">
      <c r="A14" s="3" t="s">
        <v>395</v>
      </c>
      <c r="B14" s="4">
        <v>-2759</v>
      </c>
      <c r="C14" s="4">
        <v>0</v>
      </c>
      <c r="D14" s="4">
        <v>589</v>
      </c>
      <c r="E14" s="71">
        <v>-589</v>
      </c>
      <c r="F14" s="47" t="s">
        <v>36</v>
      </c>
      <c r="G14" s="47" t="s">
        <v>999</v>
      </c>
      <c r="H14" s="12"/>
    </row>
    <row r="15" spans="1:8" x14ac:dyDescent="0.3">
      <c r="A15" s="3" t="s">
        <v>398</v>
      </c>
      <c r="B15" s="4">
        <v>-106</v>
      </c>
      <c r="C15" s="4">
        <v>0</v>
      </c>
      <c r="D15" s="4">
        <v>429</v>
      </c>
      <c r="E15" s="71">
        <v>-429</v>
      </c>
      <c r="F15" s="47" t="s">
        <v>36</v>
      </c>
      <c r="G15" s="47" t="s">
        <v>999</v>
      </c>
      <c r="H15" s="12"/>
    </row>
    <row r="16" spans="1:8" x14ac:dyDescent="0.3">
      <c r="A16" s="3" t="s">
        <v>402</v>
      </c>
      <c r="B16" s="4">
        <v>1156</v>
      </c>
      <c r="C16" s="4">
        <v>0</v>
      </c>
      <c r="D16" s="4">
        <v>294</v>
      </c>
      <c r="E16" s="71">
        <v>-294</v>
      </c>
      <c r="F16" s="47" t="s">
        <v>1000</v>
      </c>
      <c r="G16" s="47" t="s">
        <v>1001</v>
      </c>
      <c r="H16" s="12"/>
    </row>
    <row r="17" spans="1:8" x14ac:dyDescent="0.3">
      <c r="A17" s="3" t="s">
        <v>406</v>
      </c>
      <c r="B17" s="4">
        <v>3408</v>
      </c>
      <c r="C17" s="4">
        <v>3378</v>
      </c>
      <c r="D17" s="4">
        <v>708</v>
      </c>
      <c r="E17" s="71">
        <v>2670</v>
      </c>
      <c r="F17" s="13" t="s">
        <v>1002</v>
      </c>
      <c r="G17" s="13" t="s">
        <v>1003</v>
      </c>
      <c r="H17" s="12"/>
    </row>
    <row r="18" spans="1:8" x14ac:dyDescent="0.3">
      <c r="A18" s="3" t="s">
        <v>410</v>
      </c>
      <c r="B18" s="4">
        <v>4568</v>
      </c>
      <c r="C18" s="4">
        <v>4870</v>
      </c>
      <c r="D18" s="4">
        <v>1074</v>
      </c>
      <c r="E18" s="71">
        <v>3796</v>
      </c>
      <c r="F18" s="36" t="s">
        <v>1004</v>
      </c>
      <c r="G18" s="36" t="s">
        <v>285</v>
      </c>
      <c r="H18" s="12"/>
    </row>
    <row r="20" spans="1:8" ht="20.25" x14ac:dyDescent="0.35">
      <c r="A20" s="139" t="s">
        <v>1005</v>
      </c>
      <c r="B20" s="116"/>
      <c r="C20" s="116"/>
      <c r="D20" s="116"/>
      <c r="E20" s="116"/>
      <c r="F20" s="116"/>
      <c r="G20" s="116"/>
      <c r="H20" s="116"/>
    </row>
    <row r="21" spans="1:8" x14ac:dyDescent="0.3">
      <c r="A21" s="149" t="s">
        <v>1006</v>
      </c>
      <c r="B21" s="107"/>
      <c r="C21" s="107"/>
      <c r="D21" s="107"/>
      <c r="E21" s="107"/>
      <c r="F21" s="107"/>
      <c r="G21" s="107"/>
      <c r="H21" s="107"/>
    </row>
    <row r="22" spans="1:8" x14ac:dyDescent="0.3">
      <c r="A22" s="2" t="s">
        <v>20</v>
      </c>
      <c r="B22" s="2" t="s">
        <v>296</v>
      </c>
      <c r="C22" s="2" t="s">
        <v>995</v>
      </c>
      <c r="D22" s="2" t="s">
        <v>1007</v>
      </c>
      <c r="E22" s="2" t="s">
        <v>1008</v>
      </c>
      <c r="F22" s="2" t="s">
        <v>1009</v>
      </c>
      <c r="G22" s="2" t="s">
        <v>248</v>
      </c>
      <c r="H22" s="2"/>
    </row>
    <row r="23" spans="1:8" x14ac:dyDescent="0.3">
      <c r="A23" s="3" t="s">
        <v>395</v>
      </c>
      <c r="B23" s="4">
        <v>-2759</v>
      </c>
      <c r="C23" s="4">
        <v>0</v>
      </c>
      <c r="D23" s="72">
        <v>-2759</v>
      </c>
      <c r="E23" s="4">
        <v>36416</v>
      </c>
      <c r="F23" s="13" t="s">
        <v>1010</v>
      </c>
      <c r="G23" s="13" t="s">
        <v>1003</v>
      </c>
      <c r="H23" s="12"/>
    </row>
    <row r="24" spans="1:8" x14ac:dyDescent="0.3">
      <c r="A24" s="3" t="s">
        <v>398</v>
      </c>
      <c r="B24" s="4">
        <v>-106</v>
      </c>
      <c r="C24" s="4">
        <v>0</v>
      </c>
      <c r="D24" s="72">
        <v>-106</v>
      </c>
      <c r="E24" s="4">
        <v>38272</v>
      </c>
      <c r="F24" s="36" t="s">
        <v>982</v>
      </c>
      <c r="G24" s="36" t="s">
        <v>285</v>
      </c>
      <c r="H24" s="12"/>
    </row>
    <row r="25" spans="1:8" x14ac:dyDescent="0.3">
      <c r="A25" s="3" t="s">
        <v>402</v>
      </c>
      <c r="B25" s="4">
        <v>1156</v>
      </c>
      <c r="C25" s="4">
        <v>0</v>
      </c>
      <c r="D25" s="73">
        <v>1156</v>
      </c>
      <c r="E25" s="4">
        <v>41677</v>
      </c>
      <c r="F25" s="36" t="s">
        <v>1011</v>
      </c>
      <c r="G25" s="36" t="s">
        <v>285</v>
      </c>
      <c r="H25" s="12"/>
    </row>
    <row r="26" spans="1:8" x14ac:dyDescent="0.3">
      <c r="A26" s="3" t="s">
        <v>406</v>
      </c>
      <c r="B26" s="4">
        <v>3408</v>
      </c>
      <c r="C26" s="4">
        <v>3378</v>
      </c>
      <c r="D26" s="73">
        <v>30</v>
      </c>
      <c r="E26" s="4">
        <v>44486</v>
      </c>
      <c r="F26" s="36" t="s">
        <v>1012</v>
      </c>
      <c r="G26" s="36" t="s">
        <v>285</v>
      </c>
      <c r="H26" s="12"/>
    </row>
    <row r="27" spans="1:8" x14ac:dyDescent="0.3">
      <c r="A27" s="3" t="s">
        <v>410</v>
      </c>
      <c r="B27" s="4">
        <v>4568</v>
      </c>
      <c r="C27" s="4">
        <v>4870</v>
      </c>
      <c r="D27" s="72">
        <v>-302</v>
      </c>
      <c r="E27" s="4">
        <v>47006</v>
      </c>
      <c r="F27" s="36" t="s">
        <v>1013</v>
      </c>
      <c r="G27" s="36" t="s">
        <v>285</v>
      </c>
      <c r="H27" s="12"/>
    </row>
    <row r="29" spans="1:8" ht="20.25" x14ac:dyDescent="0.35">
      <c r="A29" s="139" t="s">
        <v>1014</v>
      </c>
      <c r="B29" s="116"/>
      <c r="C29" s="116"/>
      <c r="D29" s="116"/>
      <c r="E29" s="116"/>
      <c r="F29" s="116"/>
      <c r="G29" s="116"/>
      <c r="H29" s="116"/>
    </row>
    <row r="30" spans="1:8" x14ac:dyDescent="0.3">
      <c r="A30" s="2" t="s">
        <v>245</v>
      </c>
      <c r="B30" s="2" t="s">
        <v>247</v>
      </c>
      <c r="C30" s="2" t="s">
        <v>248</v>
      </c>
      <c r="D30" s="2" t="s">
        <v>363</v>
      </c>
      <c r="E30" s="2"/>
      <c r="F30" s="2"/>
      <c r="G30" s="2"/>
      <c r="H30" s="2"/>
    </row>
    <row r="31" spans="1:8" ht="27" x14ac:dyDescent="0.3">
      <c r="A31" s="20" t="s">
        <v>1015</v>
      </c>
      <c r="B31" s="24" t="s">
        <v>1016</v>
      </c>
      <c r="C31" s="12"/>
      <c r="D31" s="6"/>
      <c r="E31" s="12"/>
      <c r="F31" s="12"/>
      <c r="G31" s="12"/>
      <c r="H31" s="12"/>
    </row>
    <row r="32" spans="1:8" ht="27" x14ac:dyDescent="0.3">
      <c r="A32" s="20" t="s">
        <v>1017</v>
      </c>
      <c r="B32" s="5" t="s">
        <v>1018</v>
      </c>
      <c r="C32" s="12"/>
      <c r="D32" s="6"/>
      <c r="E32" s="12"/>
      <c r="F32" s="12"/>
      <c r="G32" s="12"/>
      <c r="H32" s="12"/>
    </row>
    <row r="33" spans="1:8" ht="36" x14ac:dyDescent="0.3">
      <c r="A33" s="20" t="s">
        <v>1019</v>
      </c>
      <c r="B33" s="36" t="s">
        <v>1020</v>
      </c>
      <c r="C33" s="36" t="s">
        <v>1021</v>
      </c>
      <c r="D33" s="28" t="s">
        <v>1022</v>
      </c>
      <c r="E33" s="12"/>
      <c r="F33" s="12"/>
      <c r="G33" s="12"/>
      <c r="H33" s="12"/>
    </row>
    <row r="35" spans="1:8" x14ac:dyDescent="0.3">
      <c r="A35" s="150" t="s">
        <v>1023</v>
      </c>
      <c r="B35" s="136"/>
      <c r="C35" s="136"/>
      <c r="D35" s="136"/>
      <c r="E35" s="136"/>
      <c r="F35" s="136"/>
      <c r="G35" s="136"/>
      <c r="H35" s="119"/>
    </row>
    <row r="37" spans="1:8" ht="20.25" x14ac:dyDescent="0.35">
      <c r="A37" s="139" t="s">
        <v>1024</v>
      </c>
      <c r="B37" s="116"/>
      <c r="C37" s="116"/>
      <c r="D37" s="116"/>
      <c r="E37" s="116"/>
      <c r="F37" s="116"/>
      <c r="G37" s="116"/>
      <c r="H37" s="116"/>
    </row>
    <row r="38" spans="1:8" x14ac:dyDescent="0.3">
      <c r="A38" s="20" t="s">
        <v>1025</v>
      </c>
      <c r="B38" s="144" t="s">
        <v>1026</v>
      </c>
      <c r="C38" s="136"/>
      <c r="D38" s="136"/>
      <c r="E38" s="136"/>
      <c r="F38" s="136"/>
      <c r="G38" s="136"/>
      <c r="H38" s="119"/>
    </row>
    <row r="39" spans="1:8" x14ac:dyDescent="0.3">
      <c r="A39" s="20" t="s">
        <v>1027</v>
      </c>
      <c r="B39" s="144" t="s">
        <v>1028</v>
      </c>
      <c r="C39" s="136"/>
      <c r="D39" s="136"/>
      <c r="E39" s="136"/>
      <c r="F39" s="136"/>
      <c r="G39" s="136"/>
      <c r="H39" s="119"/>
    </row>
    <row r="40" spans="1:8" x14ac:dyDescent="0.3">
      <c r="A40" s="20" t="s">
        <v>1029</v>
      </c>
      <c r="B40" s="144" t="s">
        <v>1030</v>
      </c>
      <c r="C40" s="136"/>
      <c r="D40" s="136"/>
      <c r="E40" s="136"/>
      <c r="F40" s="136"/>
      <c r="G40" s="136"/>
      <c r="H40" s="119"/>
    </row>
    <row r="41" spans="1:8" x14ac:dyDescent="0.3">
      <c r="A41" s="20" t="s">
        <v>1031</v>
      </c>
      <c r="B41" s="144" t="s">
        <v>1032</v>
      </c>
      <c r="C41" s="136"/>
      <c r="D41" s="136"/>
      <c r="E41" s="136"/>
      <c r="F41" s="136"/>
      <c r="G41" s="136"/>
      <c r="H41" s="119"/>
    </row>
    <row r="42" spans="1:8" x14ac:dyDescent="0.3">
      <c r="A42" s="20" t="s">
        <v>854</v>
      </c>
      <c r="B42" s="144" t="s">
        <v>1033</v>
      </c>
      <c r="C42" s="136"/>
      <c r="D42" s="136"/>
      <c r="E42" s="136"/>
      <c r="F42" s="136"/>
      <c r="G42" s="136"/>
      <c r="H42" s="119"/>
    </row>
  </sheetData>
  <mergeCells count="14">
    <mergeCell ref="A1:H1"/>
    <mergeCell ref="A21:H21"/>
    <mergeCell ref="B40:H40"/>
    <mergeCell ref="A29:H29"/>
    <mergeCell ref="A35:H35"/>
    <mergeCell ref="B42:H42"/>
    <mergeCell ref="A37:H37"/>
    <mergeCell ref="B41:H41"/>
    <mergeCell ref="A20:H20"/>
    <mergeCell ref="A2:H2"/>
    <mergeCell ref="A10:H10"/>
    <mergeCell ref="B39:H39"/>
    <mergeCell ref="B38:H38"/>
    <mergeCell ref="A12:H12"/>
  </mergeCells>
  <phoneticPr fontId="37" type="noConversion"/>
  <printOptions horizontalCentered="1"/>
  <pageMargins left="0.75" right="0.75" top="1" bottom="1" header="0.5" footer="0.5"/>
  <pageSetup scale="7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980B9"/>
    <pageSetUpPr fitToPage="1"/>
  </sheetPr>
  <dimension ref="A1:H45"/>
  <sheetViews>
    <sheetView workbookViewId="0"/>
  </sheetViews>
  <sheetFormatPr defaultRowHeight="16.5" x14ac:dyDescent="0.3"/>
  <cols>
    <col min="1" max="1" width="22" customWidth="1"/>
    <col min="2" max="8" width="16" customWidth="1"/>
  </cols>
  <sheetData>
    <row r="1" spans="1:8" ht="20.25" x14ac:dyDescent="0.35">
      <c r="A1" s="139" t="s">
        <v>1034</v>
      </c>
      <c r="B1" s="116"/>
      <c r="C1" s="116"/>
      <c r="D1" s="116"/>
      <c r="E1" s="116"/>
      <c r="F1" s="116"/>
      <c r="G1" s="116"/>
      <c r="H1" s="116"/>
    </row>
    <row r="2" spans="1:8" ht="20.25" x14ac:dyDescent="0.35">
      <c r="A2" s="139" t="s">
        <v>1035</v>
      </c>
      <c r="B2" s="116"/>
      <c r="C2" s="116"/>
      <c r="D2" s="116"/>
      <c r="E2" s="116"/>
      <c r="F2" s="116"/>
      <c r="G2" s="116"/>
      <c r="H2" s="116"/>
    </row>
    <row r="3" spans="1:8" x14ac:dyDescent="0.3">
      <c r="A3" s="2" t="s">
        <v>170</v>
      </c>
      <c r="B3" s="2" t="s">
        <v>469</v>
      </c>
      <c r="C3" s="2" t="s">
        <v>1036</v>
      </c>
      <c r="D3" s="2" t="s">
        <v>27</v>
      </c>
      <c r="E3" s="2"/>
      <c r="F3" s="2"/>
      <c r="G3" s="2"/>
      <c r="H3" s="2"/>
    </row>
    <row r="4" spans="1:8" x14ac:dyDescent="0.3">
      <c r="A4" s="30" t="s">
        <v>23</v>
      </c>
      <c r="B4" s="5" t="s">
        <v>1037</v>
      </c>
      <c r="C4" s="28" t="s">
        <v>1038</v>
      </c>
      <c r="D4" s="6" t="s">
        <v>1039</v>
      </c>
      <c r="E4" s="12"/>
      <c r="F4" s="12"/>
      <c r="G4" s="12"/>
      <c r="H4" s="12"/>
    </row>
    <row r="5" spans="1:8" x14ac:dyDescent="0.3">
      <c r="A5" s="30" t="s">
        <v>471</v>
      </c>
      <c r="B5" s="5" t="s">
        <v>472</v>
      </c>
      <c r="C5" s="28" t="s">
        <v>1040</v>
      </c>
      <c r="D5" s="6" t="s">
        <v>1041</v>
      </c>
      <c r="E5" s="12"/>
      <c r="F5" s="12"/>
      <c r="G5" s="12"/>
      <c r="H5" s="12"/>
    </row>
    <row r="6" spans="1:8" x14ac:dyDescent="0.3">
      <c r="A6" s="30" t="s">
        <v>492</v>
      </c>
      <c r="B6" s="5" t="s">
        <v>493</v>
      </c>
      <c r="C6" s="28" t="s">
        <v>1042</v>
      </c>
      <c r="D6" s="6" t="s">
        <v>1043</v>
      </c>
      <c r="E6" s="12"/>
      <c r="F6" s="12"/>
      <c r="G6" s="12"/>
      <c r="H6" s="12"/>
    </row>
    <row r="7" spans="1:8" ht="27" x14ac:dyDescent="0.3">
      <c r="A7" s="50" t="s">
        <v>1044</v>
      </c>
      <c r="B7" s="24" t="s">
        <v>1045</v>
      </c>
      <c r="C7" s="28" t="s">
        <v>1046</v>
      </c>
      <c r="D7" s="6" t="s">
        <v>1047</v>
      </c>
      <c r="E7" s="12"/>
      <c r="F7" s="12"/>
      <c r="G7" s="12"/>
      <c r="H7" s="12"/>
    </row>
    <row r="9" spans="1:8" x14ac:dyDescent="0.3">
      <c r="A9" s="151" t="s">
        <v>1048</v>
      </c>
      <c r="B9" s="136"/>
      <c r="C9" s="136"/>
      <c r="D9" s="136"/>
      <c r="E9" s="136"/>
      <c r="F9" s="136"/>
      <c r="G9" s="136"/>
      <c r="H9" s="119"/>
    </row>
    <row r="11" spans="1:8" ht="20.25" x14ac:dyDescent="0.35">
      <c r="A11" s="139" t="s">
        <v>1049</v>
      </c>
      <c r="B11" s="116"/>
      <c r="C11" s="116"/>
      <c r="D11" s="116"/>
      <c r="E11" s="116"/>
      <c r="F11" s="116"/>
      <c r="G11" s="116"/>
      <c r="H11" s="116"/>
    </row>
    <row r="12" spans="1:8" x14ac:dyDescent="0.3">
      <c r="A12" s="2" t="s">
        <v>245</v>
      </c>
      <c r="B12" s="2" t="s">
        <v>247</v>
      </c>
      <c r="C12" s="2" t="s">
        <v>248</v>
      </c>
      <c r="D12" s="2"/>
      <c r="E12" s="2"/>
      <c r="F12" s="2"/>
      <c r="G12" s="2"/>
      <c r="H12" s="2"/>
    </row>
    <row r="13" spans="1:8" x14ac:dyDescent="0.3">
      <c r="A13" s="20" t="s">
        <v>1050</v>
      </c>
      <c r="B13" s="24" t="s">
        <v>236</v>
      </c>
      <c r="C13" s="12"/>
      <c r="D13" s="12"/>
      <c r="E13" s="12"/>
      <c r="F13" s="12"/>
      <c r="G13" s="12"/>
      <c r="H13" s="12"/>
    </row>
    <row r="14" spans="1:8" x14ac:dyDescent="0.3">
      <c r="A14" s="20" t="s">
        <v>1051</v>
      </c>
      <c r="B14" s="24" t="s">
        <v>263</v>
      </c>
      <c r="C14" s="12" t="s">
        <v>264</v>
      </c>
      <c r="D14" s="12"/>
      <c r="E14" s="12"/>
      <c r="F14" s="12"/>
      <c r="G14" s="12"/>
      <c r="H14" s="12"/>
    </row>
    <row r="15" spans="1:8" x14ac:dyDescent="0.3">
      <c r="A15" s="20" t="s">
        <v>1052</v>
      </c>
      <c r="B15" s="24" t="s">
        <v>416</v>
      </c>
      <c r="C15" s="12"/>
      <c r="D15" s="12"/>
      <c r="E15" s="12"/>
      <c r="F15" s="12"/>
      <c r="G15" s="12"/>
      <c r="H15" s="12"/>
    </row>
    <row r="16" spans="1:8" x14ac:dyDescent="0.3">
      <c r="A16" s="20" t="s">
        <v>1053</v>
      </c>
      <c r="B16" s="24" t="s">
        <v>236</v>
      </c>
      <c r="C16" s="12"/>
      <c r="D16" s="12"/>
      <c r="E16" s="12"/>
      <c r="F16" s="12"/>
      <c r="G16" s="12"/>
      <c r="H16" s="12"/>
    </row>
    <row r="17" spans="1:8" x14ac:dyDescent="0.3">
      <c r="A17" s="20" t="s">
        <v>1054</v>
      </c>
      <c r="B17" s="24" t="s">
        <v>421</v>
      </c>
      <c r="C17" s="12"/>
      <c r="D17" s="12"/>
      <c r="E17" s="12"/>
      <c r="F17" s="12"/>
      <c r="G17" s="12"/>
      <c r="H17" s="12"/>
    </row>
    <row r="18" spans="1:8" x14ac:dyDescent="0.3">
      <c r="A18" s="20" t="s">
        <v>1055</v>
      </c>
      <c r="B18" s="24" t="s">
        <v>1056</v>
      </c>
      <c r="C18" s="12" t="s">
        <v>1057</v>
      </c>
      <c r="D18" s="12"/>
      <c r="E18" s="12"/>
      <c r="F18" s="12"/>
      <c r="G18" s="12"/>
      <c r="H18" s="12"/>
    </row>
    <row r="20" spans="1:8" ht="20.25" x14ac:dyDescent="0.35">
      <c r="A20" s="139" t="s">
        <v>1058</v>
      </c>
      <c r="B20" s="116"/>
      <c r="C20" s="116"/>
      <c r="D20" s="116"/>
      <c r="E20" s="116"/>
      <c r="F20" s="116"/>
      <c r="G20" s="116"/>
      <c r="H20" s="116"/>
    </row>
    <row r="21" spans="1:8" x14ac:dyDescent="0.3">
      <c r="A21" s="2" t="s">
        <v>20</v>
      </c>
      <c r="B21" s="2" t="s">
        <v>24</v>
      </c>
      <c r="C21" s="2" t="s">
        <v>1059</v>
      </c>
      <c r="D21" s="2" t="s">
        <v>390</v>
      </c>
      <c r="E21" s="2" t="s">
        <v>1060</v>
      </c>
      <c r="F21" s="2" t="s">
        <v>30</v>
      </c>
      <c r="G21" s="2"/>
      <c r="H21" s="2"/>
    </row>
    <row r="22" spans="1:8" x14ac:dyDescent="0.3">
      <c r="A22" s="3" t="s">
        <v>787</v>
      </c>
      <c r="B22" s="74" t="s">
        <v>1061</v>
      </c>
      <c r="C22" s="12" t="s">
        <v>1062</v>
      </c>
      <c r="D22" s="5" t="s">
        <v>1063</v>
      </c>
      <c r="E22" s="12" t="s">
        <v>1064</v>
      </c>
      <c r="F22" s="39" t="s">
        <v>1065</v>
      </c>
      <c r="G22" s="12"/>
      <c r="H22" s="12"/>
    </row>
    <row r="23" spans="1:8" x14ac:dyDescent="0.3">
      <c r="A23" s="3" t="s">
        <v>792</v>
      </c>
      <c r="B23" s="74" t="s">
        <v>1066</v>
      </c>
      <c r="C23" s="12" t="s">
        <v>1067</v>
      </c>
      <c r="D23" s="5" t="s">
        <v>1068</v>
      </c>
      <c r="E23" s="12" t="s">
        <v>1069</v>
      </c>
      <c r="F23" s="39" t="s">
        <v>1070</v>
      </c>
      <c r="G23" s="12"/>
      <c r="H23" s="12"/>
    </row>
    <row r="24" spans="1:8" x14ac:dyDescent="0.3">
      <c r="A24" s="3" t="s">
        <v>796</v>
      </c>
      <c r="B24" s="74" t="s">
        <v>1071</v>
      </c>
      <c r="C24" s="12" t="s">
        <v>1072</v>
      </c>
      <c r="D24" s="5" t="s">
        <v>1073</v>
      </c>
      <c r="E24" s="12" t="s">
        <v>1074</v>
      </c>
      <c r="F24" s="39" t="s">
        <v>1075</v>
      </c>
      <c r="G24" s="12"/>
      <c r="H24" s="12"/>
    </row>
    <row r="25" spans="1:8" x14ac:dyDescent="0.3">
      <c r="A25" s="3" t="s">
        <v>800</v>
      </c>
      <c r="B25" s="74" t="s">
        <v>1076</v>
      </c>
      <c r="C25" s="12" t="s">
        <v>1077</v>
      </c>
      <c r="D25" s="5" t="s">
        <v>1078</v>
      </c>
      <c r="E25" s="12" t="s">
        <v>1079</v>
      </c>
      <c r="F25" s="12" t="s">
        <v>1080</v>
      </c>
      <c r="G25" s="12"/>
      <c r="H25" s="12"/>
    </row>
    <row r="26" spans="1:8" x14ac:dyDescent="0.3">
      <c r="A26" s="3" t="s">
        <v>391</v>
      </c>
      <c r="B26" s="74" t="s">
        <v>394</v>
      </c>
      <c r="C26" s="12" t="s">
        <v>1081</v>
      </c>
      <c r="D26" s="5" t="s">
        <v>1082</v>
      </c>
      <c r="E26" s="12" t="s">
        <v>1083</v>
      </c>
      <c r="F26" s="12" t="s">
        <v>1084</v>
      </c>
      <c r="G26" s="12"/>
      <c r="H26" s="12"/>
    </row>
    <row r="27" spans="1:8" x14ac:dyDescent="0.3">
      <c r="A27" s="3" t="s">
        <v>402</v>
      </c>
      <c r="B27" s="74" t="s">
        <v>405</v>
      </c>
      <c r="C27" s="12" t="s">
        <v>1085</v>
      </c>
      <c r="D27" s="5" t="s">
        <v>1086</v>
      </c>
      <c r="E27" s="12" t="s">
        <v>1087</v>
      </c>
      <c r="F27" s="12" t="s">
        <v>986</v>
      </c>
      <c r="G27" s="12"/>
      <c r="H27" s="12"/>
    </row>
    <row r="28" spans="1:8" x14ac:dyDescent="0.3">
      <c r="A28" s="3" t="s">
        <v>406</v>
      </c>
      <c r="B28" s="74" t="s">
        <v>409</v>
      </c>
      <c r="C28" s="12" t="s">
        <v>1088</v>
      </c>
      <c r="D28" s="5" t="s">
        <v>407</v>
      </c>
      <c r="E28" s="12" t="s">
        <v>1089</v>
      </c>
      <c r="F28" s="12" t="s">
        <v>990</v>
      </c>
      <c r="G28" s="12"/>
      <c r="H28" s="12"/>
    </row>
    <row r="29" spans="1:8" x14ac:dyDescent="0.3">
      <c r="A29" s="3" t="s">
        <v>410</v>
      </c>
      <c r="B29" s="74" t="s">
        <v>300</v>
      </c>
      <c r="C29" s="12" t="s">
        <v>252</v>
      </c>
      <c r="D29" s="5" t="s">
        <v>411</v>
      </c>
      <c r="E29" s="12" t="s">
        <v>263</v>
      </c>
      <c r="F29" s="39" t="s">
        <v>799</v>
      </c>
      <c r="G29" s="12"/>
      <c r="H29" s="12"/>
    </row>
    <row r="31" spans="1:8" ht="20.25" x14ac:dyDescent="0.35">
      <c r="A31" s="139" t="s">
        <v>1090</v>
      </c>
      <c r="B31" s="116"/>
      <c r="C31" s="116"/>
      <c r="D31" s="116"/>
      <c r="E31" s="116"/>
      <c r="F31" s="116"/>
      <c r="G31" s="116"/>
      <c r="H31" s="116"/>
    </row>
    <row r="32" spans="1:8" x14ac:dyDescent="0.3">
      <c r="A32" s="2" t="s">
        <v>424</v>
      </c>
      <c r="B32" s="2" t="s">
        <v>509</v>
      </c>
      <c r="C32" s="2" t="s">
        <v>1091</v>
      </c>
      <c r="D32" s="2" t="s">
        <v>429</v>
      </c>
      <c r="E32" s="2" t="s">
        <v>549</v>
      </c>
      <c r="F32" s="2"/>
      <c r="G32" s="2"/>
      <c r="H32" s="2"/>
    </row>
    <row r="33" spans="1:8" x14ac:dyDescent="0.3">
      <c r="A33" s="46" t="s">
        <v>510</v>
      </c>
      <c r="B33" s="6" t="s">
        <v>1092</v>
      </c>
      <c r="C33" s="24" t="s">
        <v>1093</v>
      </c>
      <c r="D33" s="36" t="s">
        <v>1094</v>
      </c>
      <c r="E33" s="28" t="s">
        <v>1095</v>
      </c>
      <c r="F33" s="12"/>
      <c r="G33" s="12"/>
      <c r="H33" s="12"/>
    </row>
    <row r="34" spans="1:8" x14ac:dyDescent="0.3">
      <c r="A34" s="46" t="s">
        <v>510</v>
      </c>
      <c r="B34" s="6" t="s">
        <v>1096</v>
      </c>
      <c r="C34" s="24" t="s">
        <v>416</v>
      </c>
      <c r="D34" s="47" t="s">
        <v>1097</v>
      </c>
      <c r="E34" s="28" t="s">
        <v>1098</v>
      </c>
      <c r="F34" s="12"/>
      <c r="G34" s="12"/>
      <c r="H34" s="12"/>
    </row>
    <row r="35" spans="1:8" x14ac:dyDescent="0.3">
      <c r="A35" s="13" t="s">
        <v>511</v>
      </c>
      <c r="B35" s="6" t="s">
        <v>1099</v>
      </c>
      <c r="C35" s="24" t="s">
        <v>370</v>
      </c>
      <c r="D35" s="36" t="s">
        <v>537</v>
      </c>
      <c r="E35" s="28" t="s">
        <v>1100</v>
      </c>
      <c r="F35" s="12"/>
      <c r="G35" s="12"/>
      <c r="H35" s="12"/>
    </row>
    <row r="36" spans="1:8" x14ac:dyDescent="0.3">
      <c r="A36" s="13" t="s">
        <v>511</v>
      </c>
      <c r="B36" s="6" t="s">
        <v>1101</v>
      </c>
      <c r="C36" s="24" t="s">
        <v>525</v>
      </c>
      <c r="D36" s="36" t="s">
        <v>1102</v>
      </c>
      <c r="E36" s="28" t="s">
        <v>1103</v>
      </c>
      <c r="F36" s="12"/>
      <c r="G36" s="12"/>
      <c r="H36" s="12"/>
    </row>
    <row r="37" spans="1:8" x14ac:dyDescent="0.3">
      <c r="A37" s="42" t="s">
        <v>1104</v>
      </c>
      <c r="B37" s="6" t="s">
        <v>1105</v>
      </c>
      <c r="C37" s="24" t="s">
        <v>371</v>
      </c>
      <c r="D37" s="36" t="s">
        <v>533</v>
      </c>
      <c r="E37" s="28" t="s">
        <v>1106</v>
      </c>
      <c r="F37" s="12"/>
      <c r="G37" s="12"/>
      <c r="H37" s="12"/>
    </row>
    <row r="38" spans="1:8" x14ac:dyDescent="0.3">
      <c r="A38" s="42" t="s">
        <v>1104</v>
      </c>
      <c r="B38" s="6" t="s">
        <v>1107</v>
      </c>
      <c r="C38" s="24" t="s">
        <v>1108</v>
      </c>
      <c r="D38" s="36" t="s">
        <v>1109</v>
      </c>
      <c r="E38" s="28" t="s">
        <v>1110</v>
      </c>
      <c r="F38" s="12"/>
      <c r="G38" s="12"/>
      <c r="H38" s="12"/>
    </row>
    <row r="40" spans="1:8" ht="20.25" x14ac:dyDescent="0.35">
      <c r="A40" s="139" t="s">
        <v>1111</v>
      </c>
      <c r="B40" s="116"/>
      <c r="C40" s="116"/>
      <c r="D40" s="116"/>
      <c r="E40" s="116"/>
      <c r="F40" s="116"/>
      <c r="G40" s="116"/>
      <c r="H40" s="116"/>
    </row>
    <row r="41" spans="1:8" x14ac:dyDescent="0.3">
      <c r="A41" s="20" t="s">
        <v>1112</v>
      </c>
      <c r="B41" s="24" t="s">
        <v>1113</v>
      </c>
      <c r="C41" s="47" t="s">
        <v>1114</v>
      </c>
      <c r="D41" s="47" t="s">
        <v>1115</v>
      </c>
      <c r="E41" s="28" t="s">
        <v>1116</v>
      </c>
      <c r="F41" s="12"/>
      <c r="G41" s="12"/>
      <c r="H41" s="12"/>
    </row>
    <row r="42" spans="1:8" x14ac:dyDescent="0.3">
      <c r="A42" s="20" t="s">
        <v>1117</v>
      </c>
      <c r="B42" s="24" t="s">
        <v>1118</v>
      </c>
      <c r="C42" s="36" t="s">
        <v>1119</v>
      </c>
      <c r="D42" s="36" t="s">
        <v>1120</v>
      </c>
      <c r="E42" s="28" t="s">
        <v>1116</v>
      </c>
      <c r="F42" s="12"/>
      <c r="G42" s="12"/>
      <c r="H42" s="12"/>
    </row>
    <row r="43" spans="1:8" x14ac:dyDescent="0.3">
      <c r="A43" s="20" t="s">
        <v>1121</v>
      </c>
      <c r="B43" s="24" t="s">
        <v>1122</v>
      </c>
      <c r="C43" s="36" t="s">
        <v>1123</v>
      </c>
      <c r="D43" s="36" t="s">
        <v>1124</v>
      </c>
      <c r="E43" s="28" t="s">
        <v>1116</v>
      </c>
      <c r="F43" s="12"/>
      <c r="G43" s="12"/>
      <c r="H43" s="12"/>
    </row>
    <row r="45" spans="1:8" x14ac:dyDescent="0.3">
      <c r="A45" s="151" t="s">
        <v>1125</v>
      </c>
      <c r="B45" s="136"/>
      <c r="C45" s="136"/>
      <c r="D45" s="136"/>
      <c r="E45" s="136"/>
      <c r="F45" s="136"/>
      <c r="G45" s="136"/>
      <c r="H45" s="119"/>
    </row>
  </sheetData>
  <mergeCells count="8">
    <mergeCell ref="A45:H45"/>
    <mergeCell ref="A31:H31"/>
    <mergeCell ref="A40:H40"/>
    <mergeCell ref="A9:H9"/>
    <mergeCell ref="A1:H1"/>
    <mergeCell ref="A20:H20"/>
    <mergeCell ref="A2:H2"/>
    <mergeCell ref="A11:H11"/>
  </mergeCells>
  <phoneticPr fontId="37" type="noConversion"/>
  <printOptions horizontalCentered="1"/>
  <pageMargins left="0.75" right="0.75" top="1" bottom="1" header="0.5" footer="0.5"/>
  <pageSetup scale="6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ABC9C"/>
    <pageSetUpPr fitToPage="1"/>
  </sheetPr>
  <dimension ref="A1:H51"/>
  <sheetViews>
    <sheetView topLeftCell="A4" workbookViewId="0">
      <selection sqref="A1:H2"/>
    </sheetView>
  </sheetViews>
  <sheetFormatPr defaultRowHeight="16.5" x14ac:dyDescent="0.3"/>
  <cols>
    <col min="1" max="1" width="22" customWidth="1"/>
    <col min="2" max="8" width="16" customWidth="1"/>
  </cols>
  <sheetData>
    <row r="1" spans="1:8" x14ac:dyDescent="0.3">
      <c r="A1" s="160" t="s">
        <v>1126</v>
      </c>
      <c r="B1" s="160"/>
      <c r="C1" s="160"/>
      <c r="D1" s="160"/>
      <c r="E1" s="160"/>
      <c r="F1" s="160"/>
      <c r="G1" s="160"/>
      <c r="H1" s="160"/>
    </row>
    <row r="2" spans="1:8" ht="16.5" customHeight="1" x14ac:dyDescent="0.3">
      <c r="A2" s="160"/>
      <c r="B2" s="160"/>
      <c r="C2" s="160"/>
      <c r="D2" s="160"/>
      <c r="E2" s="160"/>
      <c r="F2" s="160"/>
      <c r="G2" s="160"/>
      <c r="H2" s="160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6" spans="1:8" ht="20.25" x14ac:dyDescent="0.35">
      <c r="A6" s="139" t="s">
        <v>1127</v>
      </c>
      <c r="B6" s="116"/>
      <c r="C6" s="116"/>
      <c r="D6" s="116"/>
      <c r="E6" s="116"/>
      <c r="F6" s="116"/>
      <c r="G6" s="116"/>
      <c r="H6" s="116"/>
    </row>
    <row r="7" spans="1:8" x14ac:dyDescent="0.3">
      <c r="A7" s="161" t="s">
        <v>1128</v>
      </c>
      <c r="B7" s="153"/>
      <c r="C7" s="154"/>
      <c r="D7" s="162" t="s">
        <v>1129</v>
      </c>
      <c r="E7" s="153"/>
      <c r="F7" s="153"/>
      <c r="G7" s="153"/>
      <c r="H7" s="154"/>
    </row>
    <row r="8" spans="1:8" x14ac:dyDescent="0.3">
      <c r="A8" s="157"/>
      <c r="B8" s="158"/>
      <c r="C8" s="159"/>
      <c r="D8" s="157"/>
      <c r="E8" s="158"/>
      <c r="F8" s="158"/>
      <c r="G8" s="158"/>
      <c r="H8" s="159"/>
    </row>
    <row r="10" spans="1:8" ht="20.25" x14ac:dyDescent="0.35">
      <c r="A10" s="139" t="s">
        <v>1130</v>
      </c>
      <c r="B10" s="116"/>
      <c r="C10" s="116"/>
      <c r="D10" s="116"/>
      <c r="E10" s="116"/>
      <c r="F10" s="116"/>
      <c r="G10" s="116"/>
      <c r="H10" s="116"/>
    </row>
    <row r="11" spans="1:8" x14ac:dyDescent="0.3">
      <c r="A11" s="70" t="s">
        <v>1131</v>
      </c>
      <c r="B11" s="144" t="s">
        <v>1132</v>
      </c>
      <c r="C11" s="136"/>
      <c r="D11" s="136"/>
      <c r="E11" s="136"/>
      <c r="F11" s="136"/>
      <c r="G11" s="136"/>
      <c r="H11" s="119"/>
    </row>
    <row r="12" spans="1:8" x14ac:dyDescent="0.3">
      <c r="A12" s="70" t="s">
        <v>1133</v>
      </c>
      <c r="B12" s="144" t="s">
        <v>1134</v>
      </c>
      <c r="C12" s="136"/>
      <c r="D12" s="136"/>
      <c r="E12" s="136"/>
      <c r="F12" s="136"/>
      <c r="G12" s="136"/>
      <c r="H12" s="119"/>
    </row>
    <row r="13" spans="1:8" x14ac:dyDescent="0.3">
      <c r="A13" s="70" t="s">
        <v>1135</v>
      </c>
      <c r="B13" s="144" t="s">
        <v>1136</v>
      </c>
      <c r="C13" s="136"/>
      <c r="D13" s="136"/>
      <c r="E13" s="136"/>
      <c r="F13" s="136"/>
      <c r="G13" s="136"/>
      <c r="H13" s="119"/>
    </row>
    <row r="14" spans="1:8" x14ac:dyDescent="0.3">
      <c r="A14" s="70" t="s">
        <v>1137</v>
      </c>
      <c r="B14" s="144" t="s">
        <v>1138</v>
      </c>
      <c r="C14" s="136"/>
      <c r="D14" s="136"/>
      <c r="E14" s="136"/>
      <c r="F14" s="136"/>
      <c r="G14" s="136"/>
      <c r="H14" s="119"/>
    </row>
    <row r="15" spans="1:8" x14ac:dyDescent="0.3">
      <c r="A15" s="75" t="s">
        <v>1139</v>
      </c>
      <c r="B15" s="144" t="s">
        <v>1140</v>
      </c>
      <c r="C15" s="136"/>
      <c r="D15" s="136"/>
      <c r="E15" s="136"/>
      <c r="F15" s="136"/>
      <c r="G15" s="136"/>
      <c r="H15" s="119"/>
    </row>
    <row r="16" spans="1:8" x14ac:dyDescent="0.3">
      <c r="A16" s="75" t="s">
        <v>1141</v>
      </c>
      <c r="B16" s="144" t="s">
        <v>1142</v>
      </c>
      <c r="C16" s="136"/>
      <c r="D16" s="136"/>
      <c r="E16" s="136"/>
      <c r="F16" s="136"/>
      <c r="G16" s="136"/>
      <c r="H16" s="119"/>
    </row>
    <row r="17" spans="1:8" x14ac:dyDescent="0.3">
      <c r="A17" s="75" t="s">
        <v>1143</v>
      </c>
      <c r="B17" s="144" t="s">
        <v>1144</v>
      </c>
      <c r="C17" s="136"/>
      <c r="D17" s="136"/>
      <c r="E17" s="136"/>
      <c r="F17" s="136"/>
      <c r="G17" s="136"/>
      <c r="H17" s="119"/>
    </row>
    <row r="19" spans="1:8" ht="20.25" x14ac:dyDescent="0.35">
      <c r="A19" s="139" t="s">
        <v>1145</v>
      </c>
      <c r="B19" s="116"/>
      <c r="C19" s="116"/>
      <c r="D19" s="116"/>
      <c r="E19" s="116"/>
      <c r="F19" s="116"/>
      <c r="G19" s="116"/>
      <c r="H19" s="116"/>
    </row>
    <row r="20" spans="1:8" x14ac:dyDescent="0.3">
      <c r="A20" s="132" t="s">
        <v>1146</v>
      </c>
      <c r="B20" s="107"/>
      <c r="C20" s="107"/>
      <c r="D20" s="107"/>
      <c r="E20" s="126" t="s">
        <v>1147</v>
      </c>
      <c r="F20" s="107"/>
      <c r="G20" s="107"/>
      <c r="H20" s="107"/>
    </row>
    <row r="21" spans="1:8" x14ac:dyDescent="0.3">
      <c r="A21" s="128" t="s">
        <v>1148</v>
      </c>
      <c r="B21" s="136"/>
      <c r="C21" s="136"/>
      <c r="D21" s="119"/>
      <c r="E21" s="129" t="s">
        <v>1149</v>
      </c>
      <c r="F21" s="136"/>
      <c r="G21" s="136"/>
      <c r="H21" s="119"/>
    </row>
    <row r="22" spans="1:8" x14ac:dyDescent="0.3">
      <c r="A22" s="128" t="s">
        <v>1150</v>
      </c>
      <c r="B22" s="136"/>
      <c r="C22" s="136"/>
      <c r="D22" s="119"/>
      <c r="E22" s="129" t="s">
        <v>1151</v>
      </c>
      <c r="F22" s="136"/>
      <c r="G22" s="136"/>
      <c r="H22" s="119"/>
    </row>
    <row r="23" spans="1:8" x14ac:dyDescent="0.3">
      <c r="A23" s="128" t="s">
        <v>1152</v>
      </c>
      <c r="B23" s="136"/>
      <c r="C23" s="136"/>
      <c r="D23" s="119"/>
      <c r="E23" s="129" t="s">
        <v>1153</v>
      </c>
      <c r="F23" s="136"/>
      <c r="G23" s="136"/>
      <c r="H23" s="119"/>
    </row>
    <row r="24" spans="1:8" x14ac:dyDescent="0.3">
      <c r="A24" s="128" t="s">
        <v>1154</v>
      </c>
      <c r="B24" s="136"/>
      <c r="C24" s="136"/>
      <c r="D24" s="119"/>
      <c r="E24" s="129" t="s">
        <v>1155</v>
      </c>
      <c r="F24" s="136"/>
      <c r="G24" s="136"/>
      <c r="H24" s="119"/>
    </row>
    <row r="26" spans="1:8" x14ac:dyDescent="0.3">
      <c r="A26" s="130" t="s">
        <v>1156</v>
      </c>
      <c r="B26" s="107"/>
      <c r="C26" s="107"/>
      <c r="D26" s="107"/>
      <c r="E26" s="131" t="s">
        <v>1157</v>
      </c>
      <c r="F26" s="107"/>
      <c r="G26" s="107"/>
      <c r="H26" s="107"/>
    </row>
    <row r="27" spans="1:8" x14ac:dyDescent="0.3">
      <c r="A27" s="127" t="s">
        <v>1158</v>
      </c>
      <c r="B27" s="136"/>
      <c r="C27" s="136"/>
      <c r="D27" s="119"/>
      <c r="E27" s="125" t="s">
        <v>1159</v>
      </c>
      <c r="F27" s="136"/>
      <c r="G27" s="136"/>
      <c r="H27" s="119"/>
    </row>
    <row r="28" spans="1:8" x14ac:dyDescent="0.3">
      <c r="A28" s="127" t="s">
        <v>1160</v>
      </c>
      <c r="B28" s="136"/>
      <c r="C28" s="136"/>
      <c r="D28" s="119"/>
      <c r="E28" s="125" t="s">
        <v>1161</v>
      </c>
      <c r="F28" s="136"/>
      <c r="G28" s="136"/>
      <c r="H28" s="119"/>
    </row>
    <row r="29" spans="1:8" x14ac:dyDescent="0.3">
      <c r="A29" s="127" t="s">
        <v>1162</v>
      </c>
      <c r="B29" s="136"/>
      <c r="C29" s="136"/>
      <c r="D29" s="119"/>
      <c r="E29" s="125" t="s">
        <v>1163</v>
      </c>
      <c r="F29" s="136"/>
      <c r="G29" s="136"/>
      <c r="H29" s="119"/>
    </row>
    <row r="30" spans="1:8" x14ac:dyDescent="0.3">
      <c r="A30" s="127" t="s">
        <v>1164</v>
      </c>
      <c r="B30" s="136"/>
      <c r="C30" s="136"/>
      <c r="D30" s="119"/>
      <c r="E30" s="125" t="s">
        <v>1165</v>
      </c>
      <c r="F30" s="136"/>
      <c r="G30" s="136"/>
      <c r="H30" s="119"/>
    </row>
    <row r="32" spans="1:8" ht="20.25" x14ac:dyDescent="0.35">
      <c r="A32" s="139" t="s">
        <v>1166</v>
      </c>
      <c r="B32" s="116"/>
      <c r="C32" s="116"/>
      <c r="D32" s="116"/>
      <c r="E32" s="116"/>
      <c r="F32" s="116"/>
      <c r="G32" s="116"/>
      <c r="H32" s="116"/>
    </row>
    <row r="33" spans="1:8" x14ac:dyDescent="0.3">
      <c r="A33" s="2" t="s">
        <v>589</v>
      </c>
      <c r="B33" s="2" t="s">
        <v>245</v>
      </c>
      <c r="C33" s="2" t="s">
        <v>590</v>
      </c>
      <c r="D33" s="2" t="s">
        <v>591</v>
      </c>
      <c r="E33" s="2" t="s">
        <v>1167</v>
      </c>
      <c r="F33" s="2"/>
      <c r="G33" s="2"/>
      <c r="H33" s="2"/>
    </row>
    <row r="34" spans="1:8" ht="39.950000000000003" customHeight="1" x14ac:dyDescent="0.3">
      <c r="A34" s="76" t="s">
        <v>592</v>
      </c>
      <c r="B34" s="20" t="s">
        <v>1168</v>
      </c>
      <c r="C34" s="6" t="s">
        <v>1169</v>
      </c>
      <c r="D34" s="62" t="s">
        <v>1170</v>
      </c>
      <c r="E34" s="28" t="s">
        <v>1171</v>
      </c>
      <c r="F34" s="12"/>
      <c r="G34" s="12"/>
      <c r="H34" s="12"/>
    </row>
    <row r="35" spans="1:8" ht="39.950000000000003" customHeight="1" x14ac:dyDescent="0.3">
      <c r="A35" s="76" t="s">
        <v>596</v>
      </c>
      <c r="B35" s="20" t="s">
        <v>1172</v>
      </c>
      <c r="C35" s="6" t="s">
        <v>1173</v>
      </c>
      <c r="D35" s="62" t="s">
        <v>1174</v>
      </c>
      <c r="E35" s="28" t="s">
        <v>1175</v>
      </c>
      <c r="F35" s="12"/>
      <c r="G35" s="12"/>
      <c r="H35" s="12"/>
    </row>
    <row r="36" spans="1:8" ht="39.950000000000003" customHeight="1" x14ac:dyDescent="0.3">
      <c r="A36" s="76" t="s">
        <v>599</v>
      </c>
      <c r="B36" s="20" t="s">
        <v>1176</v>
      </c>
      <c r="C36" s="6" t="s">
        <v>1177</v>
      </c>
      <c r="D36" s="62" t="s">
        <v>606</v>
      </c>
      <c r="E36" s="28" t="s">
        <v>1178</v>
      </c>
      <c r="F36" s="12"/>
      <c r="G36" s="12"/>
      <c r="H36" s="12"/>
    </row>
    <row r="37" spans="1:8" ht="39.950000000000003" customHeight="1" x14ac:dyDescent="0.3">
      <c r="A37" s="76" t="s">
        <v>603</v>
      </c>
      <c r="B37" s="20" t="s">
        <v>1179</v>
      </c>
      <c r="C37" s="6" t="s">
        <v>1180</v>
      </c>
      <c r="D37" s="62" t="s">
        <v>629</v>
      </c>
      <c r="E37" s="28" t="s">
        <v>739</v>
      </c>
      <c r="F37" s="12"/>
      <c r="G37" s="12"/>
      <c r="H37" s="12"/>
    </row>
    <row r="38" spans="1:8" ht="39.950000000000003" customHeight="1" x14ac:dyDescent="0.3">
      <c r="A38" s="76" t="s">
        <v>607</v>
      </c>
      <c r="B38" s="20" t="s">
        <v>1181</v>
      </c>
      <c r="C38" s="6" t="s">
        <v>1182</v>
      </c>
      <c r="D38" s="62" t="s">
        <v>1183</v>
      </c>
      <c r="E38" s="28" t="s">
        <v>1184</v>
      </c>
      <c r="F38" s="12"/>
      <c r="G38" s="12"/>
      <c r="H38" s="12"/>
    </row>
    <row r="40" spans="1:8" ht="20.25" x14ac:dyDescent="0.35">
      <c r="A40" s="139" t="s">
        <v>1185</v>
      </c>
      <c r="B40" s="116"/>
      <c r="C40" s="116"/>
      <c r="D40" s="116"/>
      <c r="E40" s="116"/>
      <c r="F40" s="116"/>
      <c r="G40" s="116"/>
      <c r="H40" s="116"/>
    </row>
    <row r="41" spans="1:8" x14ac:dyDescent="0.3">
      <c r="A41" s="129" t="s">
        <v>1186</v>
      </c>
      <c r="B41" s="136"/>
      <c r="C41" s="136"/>
      <c r="D41" s="136"/>
      <c r="E41" s="119"/>
      <c r="F41" s="145" t="s">
        <v>1187</v>
      </c>
      <c r="G41" s="136"/>
      <c r="H41" s="119"/>
    </row>
    <row r="42" spans="1:8" x14ac:dyDescent="0.3">
      <c r="A42" s="129" t="s">
        <v>1188</v>
      </c>
      <c r="B42" s="136"/>
      <c r="C42" s="136"/>
      <c r="D42" s="136"/>
      <c r="E42" s="119"/>
      <c r="F42" s="145" t="s">
        <v>1189</v>
      </c>
      <c r="G42" s="136"/>
      <c r="H42" s="119"/>
    </row>
    <row r="43" spans="1:8" x14ac:dyDescent="0.3">
      <c r="A43" s="129" t="s">
        <v>1190</v>
      </c>
      <c r="B43" s="136"/>
      <c r="C43" s="136"/>
      <c r="D43" s="136"/>
      <c r="E43" s="119"/>
      <c r="F43" s="145" t="s">
        <v>1191</v>
      </c>
      <c r="G43" s="136"/>
      <c r="H43" s="119"/>
    </row>
    <row r="44" spans="1:8" x14ac:dyDescent="0.3">
      <c r="A44" s="129" t="s">
        <v>1192</v>
      </c>
      <c r="B44" s="136"/>
      <c r="C44" s="136"/>
      <c r="D44" s="136"/>
      <c r="E44" s="119"/>
      <c r="F44" s="145" t="s">
        <v>1193</v>
      </c>
      <c r="G44" s="136"/>
      <c r="H44" s="119"/>
    </row>
    <row r="45" spans="1:8" x14ac:dyDescent="0.3">
      <c r="A45" s="129" t="s">
        <v>1194</v>
      </c>
      <c r="B45" s="136"/>
      <c r="C45" s="136"/>
      <c r="D45" s="136"/>
      <c r="E45" s="119"/>
      <c r="F45" s="145" t="s">
        <v>1195</v>
      </c>
      <c r="G45" s="136"/>
      <c r="H45" s="119"/>
    </row>
    <row r="47" spans="1:8" ht="20.25" x14ac:dyDescent="0.35">
      <c r="A47" s="139" t="s">
        <v>1196</v>
      </c>
      <c r="B47" s="116"/>
      <c r="C47" s="116"/>
      <c r="D47" s="116"/>
      <c r="E47" s="116"/>
      <c r="F47" s="116"/>
      <c r="G47" s="116"/>
      <c r="H47" s="116"/>
    </row>
    <row r="48" spans="1:8" x14ac:dyDescent="0.3">
      <c r="A48" s="152" t="s">
        <v>1197</v>
      </c>
      <c r="B48" s="153"/>
      <c r="C48" s="153"/>
      <c r="D48" s="153"/>
      <c r="E48" s="153"/>
      <c r="F48" s="153"/>
      <c r="G48" s="153"/>
      <c r="H48" s="154"/>
    </row>
    <row r="49" spans="1:8" x14ac:dyDescent="0.3">
      <c r="A49" s="155"/>
      <c r="B49" s="107"/>
      <c r="C49" s="107"/>
      <c r="D49" s="107"/>
      <c r="E49" s="107"/>
      <c r="F49" s="107"/>
      <c r="G49" s="107"/>
      <c r="H49" s="156"/>
    </row>
    <row r="50" spans="1:8" x14ac:dyDescent="0.3">
      <c r="A50" s="155"/>
      <c r="B50" s="107"/>
      <c r="C50" s="107"/>
      <c r="D50" s="107"/>
      <c r="E50" s="107"/>
      <c r="F50" s="107"/>
      <c r="G50" s="107"/>
      <c r="H50" s="156"/>
    </row>
    <row r="51" spans="1:8" x14ac:dyDescent="0.3">
      <c r="A51" s="157"/>
      <c r="B51" s="158"/>
      <c r="C51" s="158"/>
      <c r="D51" s="158"/>
      <c r="E51" s="158"/>
      <c r="F51" s="158"/>
      <c r="G51" s="158"/>
      <c r="H51" s="159"/>
    </row>
  </sheetData>
  <mergeCells count="47">
    <mergeCell ref="D7:H8"/>
    <mergeCell ref="A22:D22"/>
    <mergeCell ref="B15:H15"/>
    <mergeCell ref="A1:H2"/>
    <mergeCell ref="A42:E42"/>
    <mergeCell ref="B12:H12"/>
    <mergeCell ref="E20:H20"/>
    <mergeCell ref="E29:H29"/>
    <mergeCell ref="A10:H10"/>
    <mergeCell ref="A6:H6"/>
    <mergeCell ref="E22:H22"/>
    <mergeCell ref="A30:D30"/>
    <mergeCell ref="A41:E41"/>
    <mergeCell ref="E21:H21"/>
    <mergeCell ref="B16:H16"/>
    <mergeCell ref="A24:D24"/>
    <mergeCell ref="E24:H24"/>
    <mergeCell ref="A7:C8"/>
    <mergeCell ref="E23:H23"/>
    <mergeCell ref="B11:H11"/>
    <mergeCell ref="F44:H44"/>
    <mergeCell ref="A32:H32"/>
    <mergeCell ref="E28:H28"/>
    <mergeCell ref="B14:H14"/>
    <mergeCell ref="F41:H41"/>
    <mergeCell ref="A20:D20"/>
    <mergeCell ref="A29:D29"/>
    <mergeCell ref="A28:D28"/>
    <mergeCell ref="F43:H43"/>
    <mergeCell ref="A23:D23"/>
    <mergeCell ref="E26:H26"/>
    <mergeCell ref="F42:H42"/>
    <mergeCell ref="A48:H51"/>
    <mergeCell ref="A27:D27"/>
    <mergeCell ref="B17:H17"/>
    <mergeCell ref="A43:E43"/>
    <mergeCell ref="B13:H13"/>
    <mergeCell ref="A26:D26"/>
    <mergeCell ref="A21:D21"/>
    <mergeCell ref="E30:H30"/>
    <mergeCell ref="A19:H19"/>
    <mergeCell ref="A44:E44"/>
    <mergeCell ref="E27:H27"/>
    <mergeCell ref="A40:H40"/>
    <mergeCell ref="A47:H47"/>
    <mergeCell ref="F45:H45"/>
    <mergeCell ref="A45:E45"/>
  </mergeCells>
  <phoneticPr fontId="37" type="noConversion"/>
  <printOptions horizontalCentered="1"/>
  <pageMargins left="0.75" right="0.75" top="1" bottom="1" header="0.5" footer="0.5"/>
  <pageSetup scale="6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28"/>
  <sheetViews>
    <sheetView workbookViewId="0">
      <selection activeCell="A17" sqref="A17:XFD20"/>
    </sheetView>
  </sheetViews>
  <sheetFormatPr defaultRowHeight="16.5" x14ac:dyDescent="0.3"/>
  <cols>
    <col min="1" max="1" width="4" customWidth="1"/>
    <col min="2" max="2" width="22" customWidth="1"/>
    <col min="3" max="5" width="14" customWidth="1"/>
    <col min="6" max="6" width="17.375" customWidth="1"/>
    <col min="7" max="8" width="14" customWidth="1"/>
  </cols>
  <sheetData>
    <row r="1" spans="1:8" ht="35.1" customHeight="1" x14ac:dyDescent="0.3">
      <c r="A1" s="160" t="s">
        <v>1198</v>
      </c>
      <c r="B1" s="107"/>
      <c r="C1" s="107"/>
      <c r="D1" s="107"/>
      <c r="E1" s="107"/>
      <c r="F1" s="107"/>
      <c r="G1" s="107"/>
      <c r="H1" s="107"/>
    </row>
    <row r="2" spans="1:8" ht="9.9499999999999993" customHeight="1" x14ac:dyDescent="0.3">
      <c r="A2" s="107"/>
      <c r="B2" s="107"/>
      <c r="C2" s="107"/>
      <c r="D2" s="107"/>
      <c r="E2" s="107"/>
      <c r="F2" s="107"/>
      <c r="G2" s="107"/>
      <c r="H2" s="107"/>
    </row>
    <row r="3" spans="1:8" x14ac:dyDescent="0.3">
      <c r="A3" s="113" t="s">
        <v>1199</v>
      </c>
      <c r="B3" s="107"/>
      <c r="C3" s="107"/>
      <c r="D3" s="107"/>
      <c r="E3" s="107"/>
      <c r="F3" s="107"/>
      <c r="G3" s="107"/>
      <c r="H3" s="107"/>
    </row>
    <row r="5" spans="1:8" ht="20.25" x14ac:dyDescent="0.35">
      <c r="A5" s="139" t="s">
        <v>1200</v>
      </c>
      <c r="B5" s="116"/>
      <c r="C5" s="116"/>
      <c r="D5" s="116"/>
      <c r="E5" s="116"/>
      <c r="F5" s="116"/>
      <c r="G5" s="116"/>
      <c r="H5" s="116"/>
    </row>
    <row r="6" spans="1:8" x14ac:dyDescent="0.3">
      <c r="A6" s="2"/>
      <c r="B6" s="2" t="s">
        <v>170</v>
      </c>
      <c r="C6" s="2" t="s">
        <v>410</v>
      </c>
      <c r="D6" s="2" t="s">
        <v>940</v>
      </c>
      <c r="E6" s="2" t="s">
        <v>1201</v>
      </c>
      <c r="F6" s="2" t="s">
        <v>1202</v>
      </c>
      <c r="G6" s="2"/>
      <c r="H6" s="2"/>
    </row>
    <row r="7" spans="1:8" x14ac:dyDescent="0.3">
      <c r="A7" s="12"/>
      <c r="B7" s="26" t="s">
        <v>1203</v>
      </c>
      <c r="C7" s="12" t="s">
        <v>1204</v>
      </c>
      <c r="D7" s="12" t="s">
        <v>1205</v>
      </c>
      <c r="E7" s="12" t="s">
        <v>1206</v>
      </c>
      <c r="F7" s="42" t="s">
        <v>1207</v>
      </c>
      <c r="G7" s="12"/>
      <c r="H7" s="12"/>
    </row>
    <row r="8" spans="1:8" x14ac:dyDescent="0.3">
      <c r="A8" s="12"/>
      <c r="B8" s="26" t="s">
        <v>22</v>
      </c>
      <c r="C8" s="12" t="s">
        <v>1208</v>
      </c>
      <c r="D8" s="12" t="s">
        <v>1209</v>
      </c>
      <c r="E8" s="12" t="s">
        <v>1210</v>
      </c>
      <c r="F8" s="77" t="s">
        <v>1211</v>
      </c>
      <c r="G8" s="12"/>
      <c r="H8" s="12"/>
    </row>
    <row r="9" spans="1:8" x14ac:dyDescent="0.3">
      <c r="A9" s="12"/>
      <c r="B9" s="26" t="s">
        <v>320</v>
      </c>
      <c r="C9" s="12" t="s">
        <v>820</v>
      </c>
      <c r="D9" s="12" t="s">
        <v>360</v>
      </c>
      <c r="E9" s="12" t="s">
        <v>1212</v>
      </c>
      <c r="F9" s="77" t="s">
        <v>1211</v>
      </c>
      <c r="G9" s="12"/>
      <c r="H9" s="12"/>
    </row>
    <row r="10" spans="1:8" x14ac:dyDescent="0.3">
      <c r="A10" s="12"/>
      <c r="B10" s="26" t="s">
        <v>23</v>
      </c>
      <c r="C10" s="12" t="s">
        <v>1213</v>
      </c>
      <c r="D10" s="12" t="s">
        <v>1214</v>
      </c>
      <c r="E10" s="12" t="s">
        <v>1215</v>
      </c>
      <c r="F10" s="13" t="s">
        <v>1216</v>
      </c>
      <c r="G10" s="12"/>
      <c r="H10" s="12"/>
    </row>
    <row r="11" spans="1:8" x14ac:dyDescent="0.3">
      <c r="A11" s="12"/>
      <c r="B11" s="26" t="s">
        <v>1217</v>
      </c>
      <c r="C11" s="12" t="s">
        <v>300</v>
      </c>
      <c r="D11" s="12" t="s">
        <v>305</v>
      </c>
      <c r="E11" s="12"/>
      <c r="F11" s="12"/>
      <c r="G11" s="12"/>
      <c r="H11" s="12"/>
    </row>
    <row r="12" spans="1:8" x14ac:dyDescent="0.3">
      <c r="A12" s="149" t="s">
        <v>1218</v>
      </c>
      <c r="B12" s="107"/>
      <c r="C12" s="107"/>
      <c r="D12" s="107"/>
      <c r="E12" s="107"/>
      <c r="F12" s="107"/>
      <c r="G12" s="107"/>
      <c r="H12" s="107"/>
    </row>
    <row r="14" spans="1:8" ht="20.25" x14ac:dyDescent="0.35">
      <c r="A14" s="139" t="s">
        <v>1219</v>
      </c>
      <c r="B14" s="116"/>
      <c r="C14" s="116"/>
      <c r="D14" s="116"/>
      <c r="E14" s="116"/>
      <c r="F14" s="116"/>
      <c r="G14" s="116"/>
      <c r="H14" s="116"/>
    </row>
    <row r="16" spans="1:8" x14ac:dyDescent="0.3">
      <c r="B16" s="164" t="s">
        <v>1220</v>
      </c>
      <c r="C16" s="107"/>
      <c r="D16" s="107"/>
      <c r="E16" s="165" t="s">
        <v>1221</v>
      </c>
      <c r="F16" s="107"/>
      <c r="G16" s="107"/>
    </row>
    <row r="17" spans="1:8" ht="22.5" customHeight="1" x14ac:dyDescent="0.3">
      <c r="B17" s="166" t="s">
        <v>1222</v>
      </c>
      <c r="C17" s="107"/>
      <c r="D17" s="107"/>
      <c r="E17" s="163" t="s">
        <v>1223</v>
      </c>
      <c r="F17" s="107"/>
      <c r="G17" s="107"/>
    </row>
    <row r="18" spans="1:8" ht="22.5" customHeight="1" x14ac:dyDescent="0.3">
      <c r="B18" s="107"/>
      <c r="C18" s="107"/>
      <c r="D18" s="107"/>
      <c r="E18" s="107"/>
      <c r="F18" s="107"/>
      <c r="G18" s="107"/>
    </row>
    <row r="19" spans="1:8" ht="22.5" customHeight="1" x14ac:dyDescent="0.3">
      <c r="B19" s="107"/>
      <c r="C19" s="107"/>
      <c r="D19" s="107"/>
      <c r="E19" s="107"/>
      <c r="F19" s="107"/>
      <c r="G19" s="107"/>
    </row>
    <row r="20" spans="1:8" ht="22.5" customHeight="1" x14ac:dyDescent="0.3">
      <c r="B20" s="107"/>
      <c r="C20" s="107"/>
      <c r="D20" s="107"/>
      <c r="E20" s="107"/>
      <c r="F20" s="107"/>
      <c r="G20" s="107"/>
    </row>
    <row r="22" spans="1:8" ht="20.25" x14ac:dyDescent="0.35">
      <c r="A22" s="139" t="s">
        <v>1224</v>
      </c>
      <c r="B22" s="116"/>
      <c r="C22" s="116"/>
      <c r="D22" s="116"/>
      <c r="E22" s="116"/>
      <c r="F22" s="116"/>
      <c r="G22" s="116"/>
      <c r="H22" s="116"/>
    </row>
    <row r="23" spans="1:8" x14ac:dyDescent="0.3">
      <c r="A23" s="2"/>
      <c r="B23" s="2" t="s">
        <v>1225</v>
      </c>
      <c r="C23" s="2" t="s">
        <v>1226</v>
      </c>
      <c r="D23" s="2" t="s">
        <v>1227</v>
      </c>
      <c r="E23" s="2" t="s">
        <v>1228</v>
      </c>
      <c r="F23" s="2" t="s">
        <v>1229</v>
      </c>
      <c r="G23" s="2"/>
      <c r="H23" s="2"/>
    </row>
    <row r="24" spans="1:8" x14ac:dyDescent="0.3">
      <c r="A24" s="17"/>
      <c r="B24" s="42" t="s">
        <v>1230</v>
      </c>
      <c r="C24" s="17" t="s">
        <v>1231</v>
      </c>
      <c r="D24" s="17" t="s">
        <v>1232</v>
      </c>
      <c r="E24" s="36" t="s">
        <v>1233</v>
      </c>
      <c r="F24" s="17" t="s">
        <v>780</v>
      </c>
      <c r="G24" s="17"/>
      <c r="H24" s="17"/>
    </row>
    <row r="25" spans="1:8" x14ac:dyDescent="0.3">
      <c r="A25" s="17"/>
      <c r="B25" s="42" t="s">
        <v>1234</v>
      </c>
      <c r="C25" s="17" t="s">
        <v>1235</v>
      </c>
      <c r="D25" s="17" t="s">
        <v>1232</v>
      </c>
      <c r="E25" s="36" t="s">
        <v>1233</v>
      </c>
      <c r="F25" s="17" t="s">
        <v>780</v>
      </c>
      <c r="G25" s="17"/>
      <c r="H25" s="17"/>
    </row>
    <row r="26" spans="1:8" x14ac:dyDescent="0.3">
      <c r="A26" s="57"/>
      <c r="B26" s="46" t="s">
        <v>1236</v>
      </c>
      <c r="C26" s="57" t="s">
        <v>1237</v>
      </c>
      <c r="D26" s="57" t="s">
        <v>1238</v>
      </c>
      <c r="E26" s="47" t="s">
        <v>715</v>
      </c>
      <c r="F26" s="57" t="s">
        <v>1239</v>
      </c>
      <c r="G26" s="57"/>
      <c r="H26" s="57"/>
    </row>
    <row r="27" spans="1:8" ht="18.75" customHeight="1" x14ac:dyDescent="0.3">
      <c r="A27" s="57"/>
      <c r="B27" s="46" t="s">
        <v>1240</v>
      </c>
      <c r="C27" s="57" t="s">
        <v>1241</v>
      </c>
      <c r="D27" s="57" t="s">
        <v>1238</v>
      </c>
      <c r="E27" s="47" t="s">
        <v>715</v>
      </c>
      <c r="F27" s="57" t="s">
        <v>1242</v>
      </c>
      <c r="G27" s="57"/>
      <c r="H27" s="57"/>
    </row>
    <row r="28" spans="1:8" x14ac:dyDescent="0.3">
      <c r="A28" s="12"/>
      <c r="B28" s="26" t="s">
        <v>1243</v>
      </c>
      <c r="C28" s="12" t="s">
        <v>1244</v>
      </c>
      <c r="D28" s="12" t="s">
        <v>1245</v>
      </c>
      <c r="E28" s="12" t="s">
        <v>1233</v>
      </c>
      <c r="F28" s="12" t="s">
        <v>780</v>
      </c>
      <c r="G28" s="12"/>
      <c r="H28" s="12"/>
    </row>
  </sheetData>
  <mergeCells count="10">
    <mergeCell ref="A1:H2"/>
    <mergeCell ref="E17:G20"/>
    <mergeCell ref="B16:D16"/>
    <mergeCell ref="A22:H22"/>
    <mergeCell ref="E16:G16"/>
    <mergeCell ref="A12:H12"/>
    <mergeCell ref="A3:H3"/>
    <mergeCell ref="A14:H14"/>
    <mergeCell ref="A5:H5"/>
    <mergeCell ref="B17:D20"/>
  </mergeCells>
  <phoneticPr fontId="37" type="noConversion"/>
  <printOptions horizontalCentered="1"/>
  <pageMargins left="0.75" right="0.75" top="1" bottom="1" header="0.5" footer="0.5"/>
  <pageSetup scale="7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42"/>
  <sheetViews>
    <sheetView topLeftCell="A35" workbookViewId="0">
      <selection sqref="A1:H2"/>
    </sheetView>
  </sheetViews>
  <sheetFormatPr defaultRowHeight="16.5" x14ac:dyDescent="0.3"/>
  <cols>
    <col min="1" max="1" width="4" customWidth="1"/>
    <col min="2" max="2" width="20" customWidth="1"/>
    <col min="3" max="8" width="14" customWidth="1"/>
  </cols>
  <sheetData>
    <row r="1" spans="1:8" ht="35.1" customHeight="1" x14ac:dyDescent="0.3">
      <c r="A1" s="160" t="s">
        <v>1246</v>
      </c>
      <c r="B1" s="107"/>
      <c r="C1" s="107"/>
      <c r="D1" s="107"/>
      <c r="E1" s="107"/>
      <c r="F1" s="107"/>
      <c r="G1" s="107"/>
      <c r="H1" s="107"/>
    </row>
    <row r="2" spans="1:8" x14ac:dyDescent="0.3">
      <c r="A2" s="107"/>
      <c r="B2" s="107"/>
      <c r="C2" s="107"/>
      <c r="D2" s="107"/>
      <c r="E2" s="107"/>
      <c r="F2" s="107"/>
      <c r="G2" s="107"/>
      <c r="H2" s="107"/>
    </row>
    <row r="4" spans="1:8" ht="20.25" x14ac:dyDescent="0.35">
      <c r="A4" s="139" t="s">
        <v>1247</v>
      </c>
      <c r="B4" s="116"/>
      <c r="C4" s="116"/>
      <c r="D4" s="116"/>
      <c r="E4" s="116"/>
      <c r="F4" s="116"/>
      <c r="G4" s="116"/>
      <c r="H4" s="116"/>
    </row>
    <row r="5" spans="1:8" x14ac:dyDescent="0.3">
      <c r="A5" s="2"/>
      <c r="B5" s="2" t="s">
        <v>170</v>
      </c>
      <c r="C5" s="2" t="s">
        <v>402</v>
      </c>
      <c r="D5" s="2" t="s">
        <v>406</v>
      </c>
      <c r="E5" s="2" t="s">
        <v>410</v>
      </c>
      <c r="F5" s="2" t="s">
        <v>1248</v>
      </c>
      <c r="G5" s="2" t="s">
        <v>1249</v>
      </c>
      <c r="H5" s="2"/>
    </row>
    <row r="6" spans="1:8" x14ac:dyDescent="0.3">
      <c r="A6" s="12"/>
      <c r="B6" s="26" t="s">
        <v>1203</v>
      </c>
      <c r="C6" s="78">
        <v>12707</v>
      </c>
      <c r="D6" s="78">
        <v>13886</v>
      </c>
      <c r="E6" s="78">
        <v>14269</v>
      </c>
      <c r="F6" s="12" t="s">
        <v>1250</v>
      </c>
      <c r="G6" s="12" t="s">
        <v>1251</v>
      </c>
      <c r="H6" s="12"/>
    </row>
    <row r="7" spans="1:8" x14ac:dyDescent="0.3">
      <c r="A7" s="12"/>
      <c r="B7" s="26" t="s">
        <v>1252</v>
      </c>
      <c r="C7" s="78">
        <v>9218</v>
      </c>
      <c r="D7" s="78">
        <v>9794</v>
      </c>
      <c r="E7" s="78">
        <v>10080</v>
      </c>
      <c r="F7" s="12" t="s">
        <v>1253</v>
      </c>
      <c r="G7" s="12" t="s">
        <v>1254</v>
      </c>
      <c r="H7" s="12"/>
    </row>
    <row r="8" spans="1:8" x14ac:dyDescent="0.3">
      <c r="A8" s="12"/>
      <c r="B8" s="26" t="s">
        <v>1255</v>
      </c>
      <c r="C8" s="78">
        <v>3489</v>
      </c>
      <c r="D8" s="78">
        <v>4092</v>
      </c>
      <c r="E8" s="78">
        <v>4189</v>
      </c>
      <c r="F8" s="12" t="s">
        <v>1256</v>
      </c>
      <c r="G8" s="12" t="s">
        <v>1257</v>
      </c>
      <c r="H8" s="12"/>
    </row>
    <row r="9" spans="1:8" x14ac:dyDescent="0.3">
      <c r="A9" s="12"/>
      <c r="B9" s="26" t="s">
        <v>1258</v>
      </c>
      <c r="C9" s="78">
        <v>1313</v>
      </c>
      <c r="D9" s="78">
        <v>1269</v>
      </c>
      <c r="E9" s="78">
        <v>1331</v>
      </c>
      <c r="F9" s="12" t="s">
        <v>1259</v>
      </c>
      <c r="G9" s="12" t="s">
        <v>1260</v>
      </c>
      <c r="H9" s="12"/>
    </row>
    <row r="10" spans="1:8" ht="17.25" x14ac:dyDescent="0.3">
      <c r="A10" s="79"/>
      <c r="B10" s="80" t="s">
        <v>22</v>
      </c>
      <c r="C10" s="81">
        <v>2176</v>
      </c>
      <c r="D10" s="81">
        <v>2823</v>
      </c>
      <c r="E10" s="81">
        <v>2858</v>
      </c>
      <c r="F10" s="79" t="s">
        <v>1261</v>
      </c>
      <c r="G10" s="79" t="s">
        <v>1262</v>
      </c>
      <c r="H10" s="79"/>
    </row>
    <row r="12" spans="1:8" ht="20.25" x14ac:dyDescent="0.35">
      <c r="A12" s="139" t="s">
        <v>1263</v>
      </c>
      <c r="B12" s="116"/>
      <c r="C12" s="116"/>
      <c r="D12" s="116"/>
      <c r="E12" s="116"/>
      <c r="F12" s="116"/>
      <c r="G12" s="116"/>
      <c r="H12" s="116"/>
    </row>
    <row r="13" spans="1:8" x14ac:dyDescent="0.3">
      <c r="A13" s="2"/>
      <c r="B13" s="2" t="s">
        <v>245</v>
      </c>
      <c r="C13" s="2" t="s">
        <v>402</v>
      </c>
      <c r="D13" s="2" t="s">
        <v>406</v>
      </c>
      <c r="E13" s="2" t="s">
        <v>410</v>
      </c>
      <c r="F13" s="2" t="s">
        <v>940</v>
      </c>
      <c r="G13" s="2" t="s">
        <v>914</v>
      </c>
      <c r="H13" s="2" t="s">
        <v>1264</v>
      </c>
    </row>
    <row r="14" spans="1:8" x14ac:dyDescent="0.3">
      <c r="A14" s="57"/>
      <c r="B14" s="46" t="s">
        <v>1265</v>
      </c>
      <c r="C14" s="57" t="s">
        <v>1266</v>
      </c>
      <c r="D14" s="57" t="s">
        <v>1267</v>
      </c>
      <c r="E14" s="57" t="s">
        <v>1268</v>
      </c>
      <c r="F14" s="57" t="s">
        <v>1269</v>
      </c>
      <c r="G14" s="47" t="s">
        <v>1270</v>
      </c>
      <c r="H14" s="57" t="s">
        <v>1271</v>
      </c>
    </row>
    <row r="15" spans="1:8" x14ac:dyDescent="0.3">
      <c r="A15" s="57"/>
      <c r="B15" s="46" t="s">
        <v>784</v>
      </c>
      <c r="C15" s="57" t="s">
        <v>814</v>
      </c>
      <c r="D15" s="57" t="s">
        <v>816</v>
      </c>
      <c r="E15" s="57" t="s">
        <v>819</v>
      </c>
      <c r="F15" s="57" t="s">
        <v>1272</v>
      </c>
      <c r="G15" s="47" t="s">
        <v>1273</v>
      </c>
      <c r="H15" s="57" t="s">
        <v>1274</v>
      </c>
    </row>
    <row r="16" spans="1:8" x14ac:dyDescent="0.3">
      <c r="A16" s="12"/>
      <c r="B16" s="26" t="s">
        <v>1275</v>
      </c>
      <c r="C16" s="12" t="s">
        <v>1276</v>
      </c>
      <c r="D16" s="12" t="s">
        <v>983</v>
      </c>
      <c r="E16" s="12" t="s">
        <v>990</v>
      </c>
      <c r="F16" s="12" t="s">
        <v>1277</v>
      </c>
      <c r="G16" s="12" t="s">
        <v>1278</v>
      </c>
      <c r="H16" s="12"/>
    </row>
    <row r="17" spans="1:8" x14ac:dyDescent="0.3">
      <c r="A17" s="57"/>
      <c r="B17" s="46" t="s">
        <v>320</v>
      </c>
      <c r="C17" s="57" t="s">
        <v>815</v>
      </c>
      <c r="D17" s="57" t="s">
        <v>817</v>
      </c>
      <c r="E17" s="57" t="s">
        <v>820</v>
      </c>
      <c r="F17" s="57" t="s">
        <v>360</v>
      </c>
      <c r="G17" s="47" t="s">
        <v>1279</v>
      </c>
      <c r="H17" s="57" t="s">
        <v>1280</v>
      </c>
    </row>
    <row r="19" spans="1:8" ht="20.25" x14ac:dyDescent="0.35">
      <c r="A19" s="139" t="s">
        <v>1281</v>
      </c>
      <c r="B19" s="116"/>
      <c r="C19" s="116"/>
      <c r="D19" s="116"/>
      <c r="E19" s="116"/>
      <c r="F19" s="116"/>
      <c r="G19" s="116"/>
      <c r="H19" s="116"/>
    </row>
    <row r="20" spans="1:8" x14ac:dyDescent="0.3">
      <c r="A20" s="2"/>
      <c r="B20" s="2" t="s">
        <v>170</v>
      </c>
      <c r="C20" s="2" t="s">
        <v>1282</v>
      </c>
      <c r="D20" s="2" t="s">
        <v>1283</v>
      </c>
      <c r="E20" s="2" t="s">
        <v>1284</v>
      </c>
      <c r="F20" s="2" t="s">
        <v>1285</v>
      </c>
      <c r="G20" s="2" t="s">
        <v>1286</v>
      </c>
      <c r="H20" s="2" t="s">
        <v>1287</v>
      </c>
    </row>
    <row r="21" spans="1:8" x14ac:dyDescent="0.3">
      <c r="A21" s="12"/>
      <c r="B21" s="26" t="s">
        <v>1203</v>
      </c>
      <c r="C21" s="78">
        <v>3380</v>
      </c>
      <c r="D21" s="78">
        <v>3608</v>
      </c>
      <c r="E21" s="82">
        <v>228</v>
      </c>
      <c r="F21" s="12" t="s">
        <v>1288</v>
      </c>
      <c r="G21" s="12"/>
      <c r="H21" s="12"/>
    </row>
    <row r="22" spans="1:8" x14ac:dyDescent="0.3">
      <c r="A22" s="12"/>
      <c r="B22" s="26" t="s">
        <v>1252</v>
      </c>
      <c r="C22" s="78">
        <v>2343</v>
      </c>
      <c r="D22" s="78">
        <v>2683</v>
      </c>
      <c r="E22" s="82">
        <v>340</v>
      </c>
      <c r="F22" s="12" t="s">
        <v>1289</v>
      </c>
      <c r="G22" s="12" t="s">
        <v>1290</v>
      </c>
      <c r="H22" s="12" t="s">
        <v>1291</v>
      </c>
    </row>
    <row r="23" spans="1:8" x14ac:dyDescent="0.3">
      <c r="A23" s="12"/>
      <c r="B23" s="26" t="s">
        <v>1255</v>
      </c>
      <c r="C23" s="78">
        <v>1037</v>
      </c>
      <c r="D23" s="78">
        <v>925</v>
      </c>
      <c r="E23" s="82">
        <v>-112</v>
      </c>
      <c r="F23" s="12" t="s">
        <v>1292</v>
      </c>
      <c r="G23" s="12" t="s">
        <v>1293</v>
      </c>
      <c r="H23" s="12" t="s">
        <v>1294</v>
      </c>
    </row>
    <row r="24" spans="1:8" x14ac:dyDescent="0.3">
      <c r="A24" s="12"/>
      <c r="B24" s="26" t="s">
        <v>1258</v>
      </c>
      <c r="C24" s="78">
        <v>297</v>
      </c>
      <c r="D24" s="78">
        <v>340</v>
      </c>
      <c r="E24" s="82">
        <v>43</v>
      </c>
      <c r="F24" s="12" t="s">
        <v>1289</v>
      </c>
      <c r="G24" s="12" t="s">
        <v>1295</v>
      </c>
      <c r="H24" s="12" t="s">
        <v>803</v>
      </c>
    </row>
    <row r="25" spans="1:8" ht="17.25" x14ac:dyDescent="0.3">
      <c r="A25" s="79"/>
      <c r="B25" s="80" t="s">
        <v>22</v>
      </c>
      <c r="C25" s="81">
        <v>739</v>
      </c>
      <c r="D25" s="81">
        <v>585</v>
      </c>
      <c r="E25" s="83">
        <v>-154</v>
      </c>
      <c r="F25" s="79" t="s">
        <v>1296</v>
      </c>
      <c r="G25" s="79" t="s">
        <v>1297</v>
      </c>
      <c r="H25" s="79" t="s">
        <v>1298</v>
      </c>
    </row>
    <row r="26" spans="1:8" x14ac:dyDescent="0.3">
      <c r="A26" s="55"/>
      <c r="B26" s="13" t="s">
        <v>1299</v>
      </c>
      <c r="C26" s="84">
        <v>765</v>
      </c>
      <c r="D26" s="84">
        <v>7</v>
      </c>
      <c r="E26" s="85">
        <v>-758</v>
      </c>
      <c r="F26" s="55" t="s">
        <v>1300</v>
      </c>
      <c r="G26" s="55"/>
      <c r="H26" s="55"/>
    </row>
    <row r="27" spans="1:8" x14ac:dyDescent="0.3">
      <c r="A27" s="12"/>
      <c r="B27" s="26" t="s">
        <v>1301</v>
      </c>
      <c r="C27" s="78">
        <v>25</v>
      </c>
      <c r="D27" s="78">
        <v>202</v>
      </c>
      <c r="E27" s="82">
        <v>177</v>
      </c>
      <c r="F27" s="12" t="s">
        <v>1302</v>
      </c>
      <c r="G27" s="12"/>
      <c r="H27" s="12"/>
    </row>
    <row r="28" spans="1:8" x14ac:dyDescent="0.3">
      <c r="A28" s="12"/>
      <c r="B28" s="26" t="s">
        <v>1303</v>
      </c>
      <c r="C28" s="78">
        <v>406</v>
      </c>
      <c r="D28" s="78">
        <v>432</v>
      </c>
      <c r="E28" s="82">
        <v>26</v>
      </c>
      <c r="F28" s="12" t="s">
        <v>1304</v>
      </c>
      <c r="G28" s="12"/>
      <c r="H28" s="12"/>
    </row>
    <row r="29" spans="1:8" x14ac:dyDescent="0.3">
      <c r="A29" s="12"/>
      <c r="B29" s="26" t="s">
        <v>1305</v>
      </c>
      <c r="C29" s="78">
        <v>1884</v>
      </c>
      <c r="D29" s="78">
        <v>817</v>
      </c>
      <c r="E29" s="82">
        <v>-1067</v>
      </c>
      <c r="F29" s="12" t="s">
        <v>1306</v>
      </c>
      <c r="G29" s="12"/>
      <c r="H29" s="12"/>
    </row>
    <row r="30" spans="1:8" ht="17.25" x14ac:dyDescent="0.3">
      <c r="A30" s="79"/>
      <c r="B30" s="80" t="s">
        <v>23</v>
      </c>
      <c r="C30" s="81">
        <v>1610</v>
      </c>
      <c r="D30" s="81">
        <v>628</v>
      </c>
      <c r="E30" s="83">
        <v>-982</v>
      </c>
      <c r="F30" s="79" t="s">
        <v>1307</v>
      </c>
      <c r="G30" s="79"/>
      <c r="H30" s="79"/>
    </row>
    <row r="32" spans="1:8" x14ac:dyDescent="0.3">
      <c r="A32" s="149" t="s">
        <v>1308</v>
      </c>
      <c r="B32" s="107"/>
      <c r="C32" s="107"/>
      <c r="D32" s="107"/>
      <c r="E32" s="107"/>
      <c r="F32" s="107"/>
      <c r="G32" s="107"/>
      <c r="H32" s="107"/>
    </row>
    <row r="33" spans="1:8" x14ac:dyDescent="0.3">
      <c r="A33" s="149" t="s">
        <v>1309</v>
      </c>
      <c r="B33" s="107"/>
      <c r="C33" s="107"/>
      <c r="D33" s="107"/>
      <c r="E33" s="107"/>
      <c r="F33" s="107"/>
      <c r="G33" s="107"/>
      <c r="H33" s="107"/>
    </row>
    <row r="35" spans="1:8" ht="20.25" x14ac:dyDescent="0.35">
      <c r="A35" s="139" t="s">
        <v>1310</v>
      </c>
      <c r="B35" s="116"/>
      <c r="C35" s="116"/>
      <c r="D35" s="116"/>
      <c r="E35" s="116"/>
      <c r="F35" s="116"/>
      <c r="G35" s="116"/>
      <c r="H35" s="116"/>
    </row>
    <row r="36" spans="1:8" x14ac:dyDescent="0.3">
      <c r="A36" s="2"/>
      <c r="B36" s="2" t="s">
        <v>50</v>
      </c>
      <c r="C36" s="2" t="s">
        <v>1311</v>
      </c>
      <c r="D36" s="2" t="s">
        <v>1312</v>
      </c>
      <c r="E36" s="2" t="s">
        <v>1313</v>
      </c>
      <c r="F36" s="2" t="s">
        <v>1314</v>
      </c>
      <c r="G36" s="2" t="s">
        <v>1315</v>
      </c>
      <c r="H36" s="2" t="s">
        <v>1316</v>
      </c>
    </row>
    <row r="37" spans="1:8" x14ac:dyDescent="0.3">
      <c r="A37" s="12"/>
      <c r="B37" s="12" t="s">
        <v>1317</v>
      </c>
      <c r="C37" s="78">
        <v>368163</v>
      </c>
      <c r="D37" s="78">
        <v>75780</v>
      </c>
      <c r="E37" s="86">
        <v>0.20599999999999999</v>
      </c>
      <c r="F37" s="78">
        <v>365830</v>
      </c>
      <c r="G37" s="78">
        <v>77659</v>
      </c>
      <c r="H37" s="86">
        <v>0.21199999999999999</v>
      </c>
    </row>
    <row r="38" spans="1:8" x14ac:dyDescent="0.3">
      <c r="A38" s="57"/>
      <c r="B38" s="57" t="s">
        <v>1318</v>
      </c>
      <c r="C38" s="87">
        <v>337719</v>
      </c>
      <c r="D38" s="87">
        <v>73416</v>
      </c>
      <c r="E38" s="88">
        <v>0.217</v>
      </c>
      <c r="F38" s="87">
        <v>360727</v>
      </c>
      <c r="G38" s="87">
        <v>57874</v>
      </c>
      <c r="H38" s="88">
        <v>0.16</v>
      </c>
    </row>
    <row r="39" spans="1:8" x14ac:dyDescent="0.3">
      <c r="A39" s="57"/>
      <c r="B39" s="57" t="s">
        <v>1319</v>
      </c>
      <c r="C39" s="87">
        <v>375541</v>
      </c>
      <c r="D39" s="87">
        <v>93039</v>
      </c>
      <c r="E39" s="88">
        <v>0.248</v>
      </c>
      <c r="F39" s="87">
        <v>383662</v>
      </c>
      <c r="G39" s="87">
        <v>71880</v>
      </c>
      <c r="H39" s="88">
        <v>0.187</v>
      </c>
    </row>
    <row r="40" spans="1:8" x14ac:dyDescent="0.3">
      <c r="A40" s="55"/>
      <c r="B40" s="55" t="s">
        <v>1320</v>
      </c>
      <c r="C40" s="84">
        <v>344338</v>
      </c>
      <c r="D40" s="84">
        <v>41769</v>
      </c>
      <c r="E40" s="89">
        <v>0.121</v>
      </c>
      <c r="F40" s="84">
        <v>365446</v>
      </c>
      <c r="G40" s="84">
        <v>29697</v>
      </c>
      <c r="H40" s="89">
        <v>8.1000000000000003E-2</v>
      </c>
    </row>
    <row r="42" spans="1:8" x14ac:dyDescent="0.3">
      <c r="A42" s="149" t="s">
        <v>1321</v>
      </c>
      <c r="B42" s="107"/>
      <c r="C42" s="107"/>
      <c r="D42" s="107"/>
      <c r="E42" s="107"/>
      <c r="F42" s="107"/>
      <c r="G42" s="107"/>
      <c r="H42" s="107"/>
    </row>
  </sheetData>
  <mergeCells count="8">
    <mergeCell ref="A1:H2"/>
    <mergeCell ref="A12:H12"/>
    <mergeCell ref="A4:H4"/>
    <mergeCell ref="A35:H35"/>
    <mergeCell ref="A42:H42"/>
    <mergeCell ref="A19:H19"/>
    <mergeCell ref="A33:H33"/>
    <mergeCell ref="A32:H32"/>
  </mergeCells>
  <phoneticPr fontId="37" type="noConversion"/>
  <printOptions horizontalCentered="1"/>
  <pageMargins left="0.75" right="0.75" top="1" bottom="1" header="0.5" footer="0.5"/>
  <pageSetup scale="7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H32"/>
  <sheetViews>
    <sheetView tabSelected="1" workbookViewId="0">
      <selection activeCell="A10" sqref="A10:H10"/>
    </sheetView>
  </sheetViews>
  <sheetFormatPr defaultRowHeight="16.5" x14ac:dyDescent="0.3"/>
  <cols>
    <col min="1" max="1" width="4" customWidth="1"/>
    <col min="2" max="2" width="22" customWidth="1"/>
    <col min="3" max="8" width="14" customWidth="1"/>
  </cols>
  <sheetData>
    <row r="1" spans="1:8" ht="35.1" customHeight="1" x14ac:dyDescent="0.3">
      <c r="A1" s="160" t="s">
        <v>1322</v>
      </c>
      <c r="B1" s="107"/>
      <c r="C1" s="107"/>
      <c r="D1" s="107"/>
      <c r="E1" s="107"/>
      <c r="F1" s="107"/>
      <c r="G1" s="107"/>
      <c r="H1" s="107"/>
    </row>
    <row r="2" spans="1:8" x14ac:dyDescent="0.3">
      <c r="A2" s="107"/>
      <c r="B2" s="107"/>
      <c r="C2" s="107"/>
      <c r="D2" s="107"/>
      <c r="E2" s="107"/>
      <c r="F2" s="107"/>
      <c r="G2" s="107"/>
      <c r="H2" s="107"/>
    </row>
    <row r="4" spans="1:8" ht="20.25" x14ac:dyDescent="0.35">
      <c r="A4" s="139" t="s">
        <v>1323</v>
      </c>
      <c r="B4" s="116"/>
      <c r="C4" s="116"/>
      <c r="D4" s="116"/>
      <c r="E4" s="116"/>
      <c r="F4" s="116"/>
      <c r="G4" s="116"/>
      <c r="H4" s="116"/>
    </row>
    <row r="5" spans="1:8" x14ac:dyDescent="0.3">
      <c r="A5" s="2"/>
      <c r="B5" s="2" t="s">
        <v>170</v>
      </c>
      <c r="C5" s="2" t="s">
        <v>402</v>
      </c>
      <c r="D5" s="2" t="s">
        <v>406</v>
      </c>
      <c r="E5" s="2" t="s">
        <v>410</v>
      </c>
      <c r="F5" s="2" t="s">
        <v>1324</v>
      </c>
      <c r="G5" s="2" t="s">
        <v>1264</v>
      </c>
      <c r="H5" s="2"/>
    </row>
    <row r="6" spans="1:8" x14ac:dyDescent="0.3">
      <c r="A6" s="55"/>
      <c r="B6" s="13" t="s">
        <v>1299</v>
      </c>
      <c r="C6" s="84">
        <v>46</v>
      </c>
      <c r="D6" s="84">
        <v>61</v>
      </c>
      <c r="E6" s="84">
        <v>1291</v>
      </c>
      <c r="F6" s="84">
        <v>7</v>
      </c>
      <c r="G6" s="55" t="s">
        <v>1325</v>
      </c>
      <c r="H6" s="55"/>
    </row>
    <row r="7" spans="1:8" x14ac:dyDescent="0.3">
      <c r="A7" s="12"/>
      <c r="B7" s="26" t="s">
        <v>1301</v>
      </c>
      <c r="C7" s="78">
        <v>229</v>
      </c>
      <c r="D7" s="78">
        <v>272</v>
      </c>
      <c r="E7" s="78">
        <v>262</v>
      </c>
      <c r="F7" s="78">
        <v>202</v>
      </c>
      <c r="G7" s="12" t="s">
        <v>1326</v>
      </c>
      <c r="H7" s="12"/>
    </row>
    <row r="8" spans="1:8" ht="17.25" x14ac:dyDescent="0.3">
      <c r="A8" s="79"/>
      <c r="B8" s="80" t="s">
        <v>1327</v>
      </c>
      <c r="C8" s="81">
        <v>-183</v>
      </c>
      <c r="D8" s="81">
        <v>-211</v>
      </c>
      <c r="E8" s="81">
        <v>1029</v>
      </c>
      <c r="F8" s="81">
        <v>-195</v>
      </c>
      <c r="G8" s="79"/>
      <c r="H8" s="79"/>
    </row>
    <row r="10" spans="1:8" x14ac:dyDescent="0.3">
      <c r="A10" s="117" t="s">
        <v>1328</v>
      </c>
      <c r="B10" s="107"/>
      <c r="C10" s="107"/>
      <c r="D10" s="107"/>
      <c r="E10" s="107"/>
      <c r="F10" s="107"/>
      <c r="G10" s="107"/>
      <c r="H10" s="107"/>
    </row>
    <row r="11" spans="1:8" x14ac:dyDescent="0.3">
      <c r="A11" s="117" t="s">
        <v>1329</v>
      </c>
      <c r="B11" s="107"/>
      <c r="C11" s="107"/>
      <c r="D11" s="107"/>
      <c r="E11" s="107"/>
      <c r="F11" s="107"/>
      <c r="G11" s="107"/>
      <c r="H11" s="107"/>
    </row>
    <row r="12" spans="1:8" x14ac:dyDescent="0.3">
      <c r="A12" s="117" t="s">
        <v>1330</v>
      </c>
      <c r="B12" s="107"/>
      <c r="C12" s="107"/>
      <c r="D12" s="107"/>
      <c r="E12" s="107"/>
      <c r="F12" s="107"/>
      <c r="G12" s="107"/>
      <c r="H12" s="107"/>
    </row>
    <row r="13" spans="1:8" x14ac:dyDescent="0.3">
      <c r="A13" s="117" t="s">
        <v>1331</v>
      </c>
      <c r="B13" s="107"/>
      <c r="C13" s="107"/>
      <c r="D13" s="107"/>
      <c r="E13" s="107"/>
      <c r="F13" s="107"/>
      <c r="G13" s="107"/>
      <c r="H13" s="107"/>
    </row>
    <row r="15" spans="1:8" ht="20.25" x14ac:dyDescent="0.35">
      <c r="A15" s="139" t="s">
        <v>1332</v>
      </c>
      <c r="B15" s="116"/>
      <c r="C15" s="116"/>
      <c r="D15" s="116"/>
      <c r="E15" s="116"/>
      <c r="F15" s="116"/>
      <c r="G15" s="116"/>
      <c r="H15" s="116"/>
    </row>
    <row r="16" spans="1:8" x14ac:dyDescent="0.3">
      <c r="A16" s="2"/>
      <c r="B16" s="2" t="s">
        <v>170</v>
      </c>
      <c r="C16" s="2" t="s">
        <v>402</v>
      </c>
      <c r="D16" s="2" t="s">
        <v>406</v>
      </c>
      <c r="E16" s="2" t="s">
        <v>410</v>
      </c>
      <c r="F16" s="2" t="s">
        <v>914</v>
      </c>
      <c r="G16" s="2" t="s">
        <v>27</v>
      </c>
      <c r="H16" s="2"/>
    </row>
    <row r="17" spans="1:8" x14ac:dyDescent="0.3">
      <c r="A17" s="79"/>
      <c r="B17" s="3" t="s">
        <v>1333</v>
      </c>
      <c r="C17" s="81">
        <v>280</v>
      </c>
      <c r="D17" s="81">
        <v>2159</v>
      </c>
      <c r="E17" s="81">
        <v>1789</v>
      </c>
      <c r="F17" s="79" t="s">
        <v>1334</v>
      </c>
      <c r="G17" s="79" t="s">
        <v>1335</v>
      </c>
      <c r="H17" s="79"/>
    </row>
    <row r="18" spans="1:8" x14ac:dyDescent="0.3">
      <c r="A18" s="12"/>
      <c r="B18" s="12" t="s">
        <v>1336</v>
      </c>
      <c r="C18" s="78"/>
      <c r="D18" s="78">
        <v>1756</v>
      </c>
      <c r="E18" s="78">
        <v>1313</v>
      </c>
      <c r="F18" s="12" t="s">
        <v>1337</v>
      </c>
      <c r="G18" s="12" t="s">
        <v>1338</v>
      </c>
      <c r="H18" s="12"/>
    </row>
    <row r="19" spans="1:8" x14ac:dyDescent="0.3">
      <c r="A19" s="12"/>
      <c r="B19" s="12" t="s">
        <v>1339</v>
      </c>
      <c r="C19" s="78"/>
      <c r="D19" s="78">
        <v>78</v>
      </c>
      <c r="E19" s="78">
        <v>159</v>
      </c>
      <c r="F19" s="12" t="s">
        <v>1340</v>
      </c>
      <c r="G19" s="12"/>
      <c r="H19" s="12"/>
    </row>
    <row r="20" spans="1:8" x14ac:dyDescent="0.3">
      <c r="A20" s="12"/>
      <c r="B20" s="12" t="s">
        <v>1341</v>
      </c>
      <c r="C20" s="78"/>
      <c r="D20" s="78">
        <v>324</v>
      </c>
      <c r="E20" s="78">
        <v>318</v>
      </c>
      <c r="F20" s="12" t="s">
        <v>1342</v>
      </c>
      <c r="G20" s="12" t="s">
        <v>1021</v>
      </c>
      <c r="H20" s="12"/>
    </row>
    <row r="21" spans="1:8" x14ac:dyDescent="0.3">
      <c r="A21" s="12"/>
      <c r="B21" s="26" t="s">
        <v>1343</v>
      </c>
      <c r="C21" s="78">
        <v>598</v>
      </c>
      <c r="D21" s="78">
        <v>77</v>
      </c>
      <c r="E21" s="78">
        <v>28</v>
      </c>
      <c r="F21" s="12" t="s">
        <v>1344</v>
      </c>
      <c r="G21" s="12" t="s">
        <v>1345</v>
      </c>
      <c r="H21" s="12"/>
    </row>
    <row r="23" spans="1:8" ht="20.25" x14ac:dyDescent="0.35">
      <c r="A23" s="139" t="s">
        <v>1346</v>
      </c>
      <c r="B23" s="116"/>
      <c r="C23" s="116"/>
      <c r="D23" s="116"/>
      <c r="E23" s="116"/>
      <c r="F23" s="116"/>
      <c r="G23" s="116"/>
      <c r="H23" s="116"/>
    </row>
    <row r="24" spans="1:8" x14ac:dyDescent="0.3">
      <c r="A24" s="2"/>
      <c r="B24" s="2" t="s">
        <v>1347</v>
      </c>
      <c r="C24" s="2" t="s">
        <v>1348</v>
      </c>
      <c r="D24" s="2" t="s">
        <v>1349</v>
      </c>
      <c r="E24" s="2" t="s">
        <v>27</v>
      </c>
      <c r="F24" s="2"/>
      <c r="G24" s="2"/>
      <c r="H24" s="2"/>
    </row>
    <row r="25" spans="1:8" x14ac:dyDescent="0.3">
      <c r="A25" s="12"/>
      <c r="B25" s="26" t="s">
        <v>1350</v>
      </c>
      <c r="C25" s="78">
        <v>2445</v>
      </c>
      <c r="D25" s="12" t="s">
        <v>292</v>
      </c>
      <c r="E25" s="12"/>
      <c r="F25" s="12"/>
      <c r="G25" s="12"/>
      <c r="H25" s="12"/>
    </row>
    <row r="26" spans="1:8" x14ac:dyDescent="0.3">
      <c r="A26" s="12"/>
      <c r="B26" s="26" t="s">
        <v>1351</v>
      </c>
      <c r="C26" s="78">
        <v>9327</v>
      </c>
      <c r="D26" s="12" t="s">
        <v>987</v>
      </c>
      <c r="E26" s="12"/>
      <c r="F26" s="12"/>
      <c r="G26" s="12"/>
      <c r="H26" s="12"/>
    </row>
    <row r="27" spans="1:8" x14ac:dyDescent="0.3">
      <c r="A27" s="12"/>
      <c r="B27" s="26" t="s">
        <v>1352</v>
      </c>
      <c r="C27" s="78">
        <v>19683</v>
      </c>
      <c r="D27" s="12" t="s">
        <v>1353</v>
      </c>
      <c r="E27" s="12"/>
      <c r="F27" s="12"/>
      <c r="G27" s="12"/>
      <c r="H27" s="12"/>
    </row>
    <row r="28" spans="1:8" ht="17.25" x14ac:dyDescent="0.3">
      <c r="A28" s="79"/>
      <c r="B28" s="80" t="s">
        <v>1354</v>
      </c>
      <c r="C28" s="90">
        <v>31455</v>
      </c>
      <c r="D28" s="80" t="s">
        <v>1355</v>
      </c>
      <c r="E28" s="91" t="s">
        <v>1356</v>
      </c>
      <c r="F28" s="79"/>
      <c r="G28" s="79"/>
      <c r="H28" s="79"/>
    </row>
    <row r="30" spans="1:8" x14ac:dyDescent="0.3">
      <c r="A30" s="117" t="s">
        <v>1357</v>
      </c>
      <c r="B30" s="107"/>
      <c r="C30" s="107"/>
      <c r="D30" s="107"/>
      <c r="E30" s="107"/>
      <c r="F30" s="107"/>
      <c r="G30" s="107"/>
      <c r="H30" s="107"/>
    </row>
    <row r="31" spans="1:8" x14ac:dyDescent="0.3">
      <c r="A31" s="117" t="s">
        <v>1358</v>
      </c>
      <c r="B31" s="107"/>
      <c r="C31" s="107"/>
      <c r="D31" s="107"/>
      <c r="E31" s="107"/>
      <c r="F31" s="107"/>
      <c r="G31" s="107"/>
      <c r="H31" s="107"/>
    </row>
    <row r="32" spans="1:8" x14ac:dyDescent="0.3">
      <c r="A32" s="117" t="s">
        <v>1359</v>
      </c>
      <c r="B32" s="107"/>
      <c r="C32" s="107"/>
      <c r="D32" s="107"/>
      <c r="E32" s="107"/>
      <c r="F32" s="107"/>
      <c r="G32" s="107"/>
      <c r="H32" s="107"/>
    </row>
  </sheetData>
  <mergeCells count="11">
    <mergeCell ref="A32:H32"/>
    <mergeCell ref="A31:H31"/>
    <mergeCell ref="A1:H2"/>
    <mergeCell ref="A12:H12"/>
    <mergeCell ref="A4:H4"/>
    <mergeCell ref="A30:H30"/>
    <mergeCell ref="A15:H15"/>
    <mergeCell ref="A10:H10"/>
    <mergeCell ref="A13:H13"/>
    <mergeCell ref="A11:H11"/>
    <mergeCell ref="A23:H23"/>
  </mergeCells>
  <phoneticPr fontId="37" type="noConversion"/>
  <printOptions horizontalCentered="1"/>
  <pageMargins left="0.75" right="0.75" top="1" bottom="1" header="0.5" footer="0.5"/>
  <pageSetup scale="7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H22"/>
  <sheetViews>
    <sheetView workbookViewId="0"/>
  </sheetViews>
  <sheetFormatPr defaultRowHeight="16.5" x14ac:dyDescent="0.3"/>
  <cols>
    <col min="1" max="1" width="4" customWidth="1"/>
    <col min="2" max="2" width="22" customWidth="1"/>
    <col min="3" max="8" width="14" customWidth="1"/>
  </cols>
  <sheetData>
    <row r="1" spans="1:8" ht="35.1" customHeight="1" x14ac:dyDescent="0.3">
      <c r="A1" s="160" t="s">
        <v>1360</v>
      </c>
      <c r="B1" s="107"/>
      <c r="C1" s="107"/>
      <c r="D1" s="107"/>
      <c r="E1" s="107"/>
      <c r="F1" s="107"/>
      <c r="G1" s="107"/>
      <c r="H1" s="107"/>
    </row>
    <row r="2" spans="1:8" x14ac:dyDescent="0.3">
      <c r="A2" s="107"/>
      <c r="B2" s="107"/>
      <c r="C2" s="107"/>
      <c r="D2" s="107"/>
      <c r="E2" s="107"/>
      <c r="F2" s="107"/>
      <c r="G2" s="107"/>
      <c r="H2" s="107"/>
    </row>
    <row r="4" spans="1:8" ht="20.25" x14ac:dyDescent="0.35">
      <c r="A4" s="139" t="s">
        <v>1361</v>
      </c>
      <c r="B4" s="116"/>
      <c r="C4" s="116"/>
      <c r="D4" s="116"/>
      <c r="E4" s="116"/>
      <c r="F4" s="116"/>
      <c r="G4" s="116"/>
      <c r="H4" s="116"/>
    </row>
    <row r="5" spans="1:8" x14ac:dyDescent="0.3">
      <c r="A5" s="2"/>
      <c r="B5" s="2" t="s">
        <v>20</v>
      </c>
      <c r="C5" s="2" t="s">
        <v>1362</v>
      </c>
      <c r="D5" s="2" t="s">
        <v>1363</v>
      </c>
      <c r="E5" s="2" t="s">
        <v>1364</v>
      </c>
      <c r="F5" s="2" t="s">
        <v>27</v>
      </c>
      <c r="G5" s="2"/>
      <c r="H5" s="2"/>
    </row>
    <row r="6" spans="1:8" x14ac:dyDescent="0.3">
      <c r="A6" s="12"/>
      <c r="B6" s="26">
        <v>2019</v>
      </c>
      <c r="C6" s="78">
        <v>216</v>
      </c>
      <c r="D6" s="78">
        <v>73</v>
      </c>
      <c r="E6" s="82">
        <v>-222</v>
      </c>
      <c r="F6" s="12"/>
      <c r="G6" s="12"/>
      <c r="H6" s="12"/>
    </row>
    <row r="7" spans="1:8" ht="27" x14ac:dyDescent="0.3">
      <c r="A7" s="57"/>
      <c r="B7" s="46">
        <v>2020</v>
      </c>
      <c r="C7" s="87">
        <v>550</v>
      </c>
      <c r="D7" s="87">
        <v>76</v>
      </c>
      <c r="E7" s="92">
        <v>-641</v>
      </c>
      <c r="F7" s="47" t="s">
        <v>1365</v>
      </c>
      <c r="G7" s="57"/>
      <c r="H7" s="57"/>
    </row>
    <row r="8" spans="1:8" x14ac:dyDescent="0.3">
      <c r="A8" s="12"/>
      <c r="B8" s="26">
        <v>2021</v>
      </c>
      <c r="C8" s="78">
        <v>291</v>
      </c>
      <c r="D8" s="78">
        <v>100</v>
      </c>
      <c r="E8" s="82">
        <v>-124</v>
      </c>
      <c r="F8" s="12"/>
      <c r="G8" s="12"/>
      <c r="H8" s="12"/>
    </row>
    <row r="9" spans="1:8" x14ac:dyDescent="0.3">
      <c r="A9" s="12"/>
      <c r="B9" s="26">
        <v>2022</v>
      </c>
      <c r="C9" s="78">
        <v>268</v>
      </c>
      <c r="D9" s="78">
        <v>145</v>
      </c>
      <c r="E9" s="82">
        <v>-309</v>
      </c>
      <c r="F9" s="12"/>
      <c r="G9" s="12"/>
      <c r="H9" s="12"/>
    </row>
    <row r="10" spans="1:8" x14ac:dyDescent="0.3">
      <c r="A10" s="12"/>
      <c r="B10" s="26">
        <v>2023</v>
      </c>
      <c r="C10" s="78">
        <v>167</v>
      </c>
      <c r="D10" s="78">
        <v>269</v>
      </c>
      <c r="E10" s="82">
        <v>-216</v>
      </c>
      <c r="F10" s="12"/>
      <c r="G10" s="12"/>
      <c r="H10" s="12"/>
    </row>
    <row r="11" spans="1:8" ht="27" x14ac:dyDescent="0.3">
      <c r="A11" s="55"/>
      <c r="B11" s="13">
        <v>2024</v>
      </c>
      <c r="C11" s="84">
        <v>173</v>
      </c>
      <c r="D11" s="84">
        <v>223</v>
      </c>
      <c r="E11" s="85">
        <v>202</v>
      </c>
      <c r="F11" s="93" t="s">
        <v>1366</v>
      </c>
      <c r="G11" s="55"/>
      <c r="H11" s="55"/>
    </row>
    <row r="13" spans="1:8" ht="20.25" x14ac:dyDescent="0.35">
      <c r="A13" s="139" t="s">
        <v>1367</v>
      </c>
      <c r="B13" s="116"/>
      <c r="C13" s="116"/>
      <c r="D13" s="116"/>
      <c r="E13" s="116"/>
      <c r="F13" s="116"/>
      <c r="G13" s="116"/>
      <c r="H13" s="116"/>
    </row>
    <row r="14" spans="1:8" x14ac:dyDescent="0.3">
      <c r="A14" s="117" t="s">
        <v>1368</v>
      </c>
      <c r="B14" s="107"/>
      <c r="C14" s="107"/>
      <c r="D14" s="107"/>
      <c r="E14" s="107"/>
      <c r="F14" s="107"/>
      <c r="G14" s="107"/>
      <c r="H14" s="107"/>
    </row>
    <row r="15" spans="1:8" x14ac:dyDescent="0.3">
      <c r="A15" s="117" t="s">
        <v>1369</v>
      </c>
      <c r="B15" s="107"/>
      <c r="C15" s="107"/>
      <c r="D15" s="107"/>
      <c r="E15" s="107"/>
      <c r="F15" s="107"/>
      <c r="G15" s="107"/>
      <c r="H15" s="107"/>
    </row>
    <row r="16" spans="1:8" x14ac:dyDescent="0.3">
      <c r="A16" s="117" t="s">
        <v>1370</v>
      </c>
      <c r="B16" s="107"/>
      <c r="C16" s="107"/>
      <c r="D16" s="107"/>
      <c r="E16" s="107"/>
      <c r="F16" s="107"/>
      <c r="G16" s="107"/>
      <c r="H16" s="107"/>
    </row>
    <row r="18" spans="1:8" x14ac:dyDescent="0.3">
      <c r="A18" s="168" t="s">
        <v>1371</v>
      </c>
      <c r="B18" s="107"/>
      <c r="C18" s="107"/>
      <c r="D18" s="107"/>
      <c r="E18" s="107"/>
      <c r="F18" s="107"/>
      <c r="G18" s="107"/>
      <c r="H18" s="107"/>
    </row>
    <row r="19" spans="1:8" x14ac:dyDescent="0.3">
      <c r="A19" s="117" t="s">
        <v>1372</v>
      </c>
      <c r="B19" s="107"/>
      <c r="C19" s="107"/>
      <c r="D19" s="107"/>
      <c r="E19" s="107"/>
      <c r="F19" s="107"/>
      <c r="G19" s="107"/>
      <c r="H19" s="107"/>
    </row>
    <row r="20" spans="1:8" x14ac:dyDescent="0.3">
      <c r="A20" s="117" t="s">
        <v>1373</v>
      </c>
      <c r="B20" s="107"/>
      <c r="C20" s="107"/>
      <c r="D20" s="107"/>
      <c r="E20" s="107"/>
      <c r="F20" s="107"/>
      <c r="G20" s="107"/>
      <c r="H20" s="107"/>
    </row>
    <row r="22" spans="1:8" x14ac:dyDescent="0.3">
      <c r="A22" s="167" t="s">
        <v>1374</v>
      </c>
      <c r="B22" s="107"/>
      <c r="C22" s="107"/>
      <c r="D22" s="107"/>
      <c r="E22" s="107"/>
      <c r="F22" s="107"/>
      <c r="G22" s="107"/>
      <c r="H22" s="107"/>
    </row>
  </sheetData>
  <mergeCells count="10">
    <mergeCell ref="A1:H2"/>
    <mergeCell ref="A22:H22"/>
    <mergeCell ref="A18:H18"/>
    <mergeCell ref="A4:H4"/>
    <mergeCell ref="A15:H15"/>
    <mergeCell ref="A20:H20"/>
    <mergeCell ref="A16:H16"/>
    <mergeCell ref="A13:H13"/>
    <mergeCell ref="A14:H14"/>
    <mergeCell ref="A19:H19"/>
  </mergeCells>
  <phoneticPr fontId="37" type="noConversion"/>
  <printOptions horizontalCentered="1"/>
  <pageMargins left="0.75" right="0.75" top="1" bottom="1" header="0.5" footer="0.5"/>
  <pageSetup scale="7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38"/>
  <sheetViews>
    <sheetView workbookViewId="0"/>
  </sheetViews>
  <sheetFormatPr defaultRowHeight="16.5" x14ac:dyDescent="0.3"/>
  <cols>
    <col min="1" max="1" width="4" customWidth="1"/>
    <col min="2" max="2" width="28" customWidth="1"/>
    <col min="3" max="8" width="14" customWidth="1"/>
  </cols>
  <sheetData>
    <row r="1" spans="1:8" ht="35.1" customHeight="1" x14ac:dyDescent="0.3">
      <c r="A1" s="160" t="s">
        <v>1375</v>
      </c>
      <c r="B1" s="107"/>
      <c r="C1" s="107"/>
      <c r="D1" s="107"/>
      <c r="E1" s="107"/>
      <c r="F1" s="107"/>
      <c r="G1" s="107"/>
      <c r="H1" s="107"/>
    </row>
    <row r="2" spans="1:8" x14ac:dyDescent="0.3">
      <c r="A2" s="107"/>
      <c r="B2" s="107"/>
      <c r="C2" s="107"/>
      <c r="D2" s="107"/>
      <c r="E2" s="107"/>
      <c r="F2" s="107"/>
      <c r="G2" s="107"/>
      <c r="H2" s="107"/>
    </row>
    <row r="4" spans="1:8" ht="20.25" x14ac:dyDescent="0.35">
      <c r="A4" s="139" t="s">
        <v>1376</v>
      </c>
      <c r="B4" s="116"/>
      <c r="C4" s="116"/>
      <c r="D4" s="116"/>
      <c r="E4" s="116"/>
      <c r="F4" s="116"/>
      <c r="G4" s="116"/>
      <c r="H4" s="116"/>
    </row>
    <row r="5" spans="1:8" x14ac:dyDescent="0.3">
      <c r="A5" s="117" t="s">
        <v>1377</v>
      </c>
      <c r="B5" s="107"/>
      <c r="C5" s="107"/>
      <c r="D5" s="107"/>
      <c r="E5" s="107"/>
      <c r="F5" s="107"/>
      <c r="G5" s="107"/>
      <c r="H5" s="107"/>
    </row>
    <row r="6" spans="1:8" x14ac:dyDescent="0.3">
      <c r="A6" s="117" t="s">
        <v>1378</v>
      </c>
      <c r="B6" s="107"/>
      <c r="C6" s="107"/>
      <c r="D6" s="107"/>
      <c r="E6" s="107"/>
      <c r="F6" s="107"/>
      <c r="G6" s="107"/>
      <c r="H6" s="107"/>
    </row>
    <row r="7" spans="1:8" x14ac:dyDescent="0.3">
      <c r="A7" s="117" t="s">
        <v>1379</v>
      </c>
      <c r="B7" s="107"/>
      <c r="C7" s="107"/>
      <c r="D7" s="107"/>
      <c r="E7" s="107"/>
      <c r="F7" s="107"/>
      <c r="G7" s="107"/>
      <c r="H7" s="107"/>
    </row>
    <row r="8" spans="1:8" x14ac:dyDescent="0.3">
      <c r="A8" s="117" t="s">
        <v>1380</v>
      </c>
      <c r="B8" s="107"/>
      <c r="C8" s="107"/>
      <c r="D8" s="107"/>
      <c r="E8" s="107"/>
      <c r="F8" s="107"/>
      <c r="G8" s="107"/>
      <c r="H8" s="107"/>
    </row>
    <row r="10" spans="1:8" ht="20.25" x14ac:dyDescent="0.35">
      <c r="A10" s="139" t="s">
        <v>1381</v>
      </c>
      <c r="B10" s="116"/>
      <c r="C10" s="116"/>
      <c r="D10" s="116"/>
      <c r="E10" s="116"/>
      <c r="F10" s="116"/>
      <c r="G10" s="116"/>
      <c r="H10" s="116"/>
    </row>
    <row r="11" spans="1:8" x14ac:dyDescent="0.3">
      <c r="B11" s="170" t="s">
        <v>1382</v>
      </c>
      <c r="C11" s="136"/>
      <c r="D11" s="136"/>
      <c r="E11" s="136"/>
      <c r="F11" s="136"/>
      <c r="G11" s="136"/>
      <c r="H11" s="119"/>
    </row>
    <row r="12" spans="1:8" x14ac:dyDescent="0.3">
      <c r="B12" s="169" t="s">
        <v>1383</v>
      </c>
      <c r="C12" s="153"/>
      <c r="D12" s="153"/>
      <c r="E12" s="153"/>
      <c r="F12" s="153"/>
      <c r="G12" s="153"/>
      <c r="H12" s="154"/>
    </row>
    <row r="13" spans="1:8" x14ac:dyDescent="0.3">
      <c r="B13" s="157"/>
      <c r="C13" s="158"/>
      <c r="D13" s="158"/>
      <c r="E13" s="158"/>
      <c r="F13" s="158"/>
      <c r="G13" s="158"/>
      <c r="H13" s="159"/>
    </row>
    <row r="15" spans="1:8" x14ac:dyDescent="0.3">
      <c r="B15" s="170" t="s">
        <v>1384</v>
      </c>
      <c r="C15" s="136"/>
      <c r="D15" s="136"/>
      <c r="E15" s="136"/>
      <c r="F15" s="136"/>
      <c r="G15" s="136"/>
      <c r="H15" s="119"/>
    </row>
    <row r="16" spans="1:8" x14ac:dyDescent="0.3">
      <c r="B16" s="169" t="s">
        <v>1385</v>
      </c>
      <c r="C16" s="153"/>
      <c r="D16" s="153"/>
      <c r="E16" s="153"/>
      <c r="F16" s="153"/>
      <c r="G16" s="153"/>
      <c r="H16" s="154"/>
    </row>
    <row r="17" spans="1:8" x14ac:dyDescent="0.3">
      <c r="B17" s="157"/>
      <c r="C17" s="158"/>
      <c r="D17" s="158"/>
      <c r="E17" s="158"/>
      <c r="F17" s="158"/>
      <c r="G17" s="158"/>
      <c r="H17" s="159"/>
    </row>
    <row r="19" spans="1:8" x14ac:dyDescent="0.3">
      <c r="B19" s="170" t="s">
        <v>1386</v>
      </c>
      <c r="C19" s="136"/>
      <c r="D19" s="136"/>
      <c r="E19" s="136"/>
      <c r="F19" s="136"/>
      <c r="G19" s="136"/>
      <c r="H19" s="119"/>
    </row>
    <row r="20" spans="1:8" x14ac:dyDescent="0.3">
      <c r="B20" s="169" t="s">
        <v>1387</v>
      </c>
      <c r="C20" s="153"/>
      <c r="D20" s="153"/>
      <c r="E20" s="153"/>
      <c r="F20" s="153"/>
      <c r="G20" s="153"/>
      <c r="H20" s="154"/>
    </row>
    <row r="21" spans="1:8" x14ac:dyDescent="0.3">
      <c r="B21" s="157"/>
      <c r="C21" s="158"/>
      <c r="D21" s="158"/>
      <c r="E21" s="158"/>
      <c r="F21" s="158"/>
      <c r="G21" s="158"/>
      <c r="H21" s="159"/>
    </row>
    <row r="23" spans="1:8" x14ac:dyDescent="0.3">
      <c r="B23" s="170" t="s">
        <v>1388</v>
      </c>
      <c r="C23" s="136"/>
      <c r="D23" s="136"/>
      <c r="E23" s="136"/>
      <c r="F23" s="136"/>
      <c r="G23" s="136"/>
      <c r="H23" s="119"/>
    </row>
    <row r="24" spans="1:8" x14ac:dyDescent="0.3">
      <c r="B24" s="169" t="s">
        <v>1389</v>
      </c>
      <c r="C24" s="153"/>
      <c r="D24" s="153"/>
      <c r="E24" s="153"/>
      <c r="F24" s="153"/>
      <c r="G24" s="153"/>
      <c r="H24" s="154"/>
    </row>
    <row r="25" spans="1:8" x14ac:dyDescent="0.3">
      <c r="B25" s="157"/>
      <c r="C25" s="158"/>
      <c r="D25" s="158"/>
      <c r="E25" s="158"/>
      <c r="F25" s="158"/>
      <c r="G25" s="158"/>
      <c r="H25" s="159"/>
    </row>
    <row r="27" spans="1:8" x14ac:dyDescent="0.3">
      <c r="B27" s="170" t="s">
        <v>1390</v>
      </c>
      <c r="C27" s="136"/>
      <c r="D27" s="136"/>
      <c r="E27" s="136"/>
      <c r="F27" s="136"/>
      <c r="G27" s="136"/>
      <c r="H27" s="119"/>
    </row>
    <row r="28" spans="1:8" x14ac:dyDescent="0.3">
      <c r="B28" s="169" t="s">
        <v>1391</v>
      </c>
      <c r="C28" s="153"/>
      <c r="D28" s="153"/>
      <c r="E28" s="153"/>
      <c r="F28" s="153"/>
      <c r="G28" s="153"/>
      <c r="H28" s="154"/>
    </row>
    <row r="29" spans="1:8" x14ac:dyDescent="0.3">
      <c r="B29" s="157"/>
      <c r="C29" s="158"/>
      <c r="D29" s="158"/>
      <c r="E29" s="158"/>
      <c r="F29" s="158"/>
      <c r="G29" s="158"/>
      <c r="H29" s="159"/>
    </row>
    <row r="31" spans="1:8" ht="20.25" x14ac:dyDescent="0.35">
      <c r="A31" s="139" t="s">
        <v>1392</v>
      </c>
      <c r="B31" s="116"/>
      <c r="C31" s="116"/>
      <c r="D31" s="116"/>
      <c r="E31" s="116"/>
      <c r="F31" s="116"/>
      <c r="G31" s="116"/>
      <c r="H31" s="116"/>
    </row>
    <row r="32" spans="1:8" x14ac:dyDescent="0.3">
      <c r="A32" s="2"/>
      <c r="B32" s="2" t="s">
        <v>170</v>
      </c>
      <c r="C32" s="2" t="s">
        <v>1393</v>
      </c>
      <c r="D32" s="2" t="s">
        <v>765</v>
      </c>
      <c r="E32" s="2" t="s">
        <v>1394</v>
      </c>
      <c r="F32" s="2"/>
      <c r="G32" s="2"/>
      <c r="H32" s="2"/>
    </row>
    <row r="33" spans="1:8" ht="40.5" x14ac:dyDescent="0.3">
      <c r="A33" s="12"/>
      <c r="B33" s="26" t="s">
        <v>1395</v>
      </c>
      <c r="C33" s="12" t="s">
        <v>1396</v>
      </c>
      <c r="D33" s="12" t="s">
        <v>1397</v>
      </c>
      <c r="E33" s="12" t="s">
        <v>1398</v>
      </c>
      <c r="F33" s="12"/>
      <c r="G33" s="12"/>
      <c r="H33" s="12"/>
    </row>
    <row r="34" spans="1:8" ht="27" x14ac:dyDescent="0.3">
      <c r="A34" s="12"/>
      <c r="B34" s="26" t="s">
        <v>1399</v>
      </c>
      <c r="C34" s="12" t="s">
        <v>1400</v>
      </c>
      <c r="D34" s="12" t="s">
        <v>1401</v>
      </c>
      <c r="E34" s="12" t="s">
        <v>1402</v>
      </c>
      <c r="F34" s="12"/>
      <c r="G34" s="12"/>
      <c r="H34" s="12"/>
    </row>
    <row r="35" spans="1:8" ht="40.5" x14ac:dyDescent="0.3">
      <c r="A35" s="47"/>
      <c r="B35" s="47" t="s">
        <v>1403</v>
      </c>
      <c r="C35" s="47" t="s">
        <v>1404</v>
      </c>
      <c r="D35" s="47" t="s">
        <v>1405</v>
      </c>
      <c r="E35" s="47" t="s">
        <v>1406</v>
      </c>
      <c r="F35" s="47"/>
      <c r="G35" s="47"/>
      <c r="H35" s="47"/>
    </row>
    <row r="37" spans="1:8" x14ac:dyDescent="0.3">
      <c r="A37" s="171" t="s">
        <v>1407</v>
      </c>
      <c r="B37" s="107"/>
      <c r="C37" s="107"/>
      <c r="D37" s="107"/>
      <c r="E37" s="107"/>
      <c r="F37" s="107"/>
      <c r="G37" s="107"/>
      <c r="H37" s="107"/>
    </row>
    <row r="38" spans="1:8" x14ac:dyDescent="0.3">
      <c r="A38" s="167" t="s">
        <v>1408</v>
      </c>
      <c r="B38" s="107"/>
      <c r="C38" s="107"/>
      <c r="D38" s="107"/>
      <c r="E38" s="107"/>
      <c r="F38" s="107"/>
      <c r="G38" s="107"/>
      <c r="H38" s="107"/>
    </row>
  </sheetData>
  <mergeCells count="20">
    <mergeCell ref="A5:H5"/>
    <mergeCell ref="B11:H11"/>
    <mergeCell ref="A1:H2"/>
    <mergeCell ref="A8:H8"/>
    <mergeCell ref="B20:H21"/>
    <mergeCell ref="A4:H4"/>
    <mergeCell ref="B12:H13"/>
    <mergeCell ref="B15:H15"/>
    <mergeCell ref="A6:H6"/>
    <mergeCell ref="A7:H7"/>
    <mergeCell ref="A38:H38"/>
    <mergeCell ref="A10:H10"/>
    <mergeCell ref="B16:H17"/>
    <mergeCell ref="B19:H19"/>
    <mergeCell ref="A31:H31"/>
    <mergeCell ref="A37:H37"/>
    <mergeCell ref="B28:H29"/>
    <mergeCell ref="B24:H25"/>
    <mergeCell ref="B27:H27"/>
    <mergeCell ref="B23:H23"/>
  </mergeCells>
  <phoneticPr fontId="37" type="noConversion"/>
  <printOptions horizontalCentered="1"/>
  <pageMargins left="0.75" right="0.75" top="1" bottom="1" header="0.5" footer="0.5"/>
  <pageSetup scale="7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34"/>
  <sheetViews>
    <sheetView workbookViewId="0"/>
  </sheetViews>
  <sheetFormatPr defaultRowHeight="16.5" x14ac:dyDescent="0.3"/>
  <cols>
    <col min="1" max="1" width="4" customWidth="1"/>
    <col min="2" max="8" width="14" customWidth="1"/>
  </cols>
  <sheetData>
    <row r="1" spans="1:8" ht="35.1" customHeight="1" x14ac:dyDescent="0.3">
      <c r="A1" s="160" t="s">
        <v>1409</v>
      </c>
      <c r="B1" s="107"/>
      <c r="C1" s="107"/>
      <c r="D1" s="107"/>
      <c r="E1" s="107"/>
      <c r="F1" s="107"/>
      <c r="G1" s="107"/>
      <c r="H1" s="107"/>
    </row>
    <row r="2" spans="1:8" x14ac:dyDescent="0.3">
      <c r="A2" s="107"/>
      <c r="B2" s="107"/>
      <c r="C2" s="107"/>
      <c r="D2" s="107"/>
      <c r="E2" s="107"/>
      <c r="F2" s="107"/>
      <c r="G2" s="107"/>
      <c r="H2" s="107"/>
    </row>
    <row r="4" spans="1:8" ht="20.25" x14ac:dyDescent="0.35">
      <c r="A4" s="139" t="s">
        <v>1410</v>
      </c>
      <c r="B4" s="116"/>
      <c r="C4" s="116"/>
      <c r="D4" s="116"/>
      <c r="E4" s="116"/>
      <c r="F4" s="116"/>
      <c r="G4" s="116"/>
      <c r="H4" s="116"/>
    </row>
    <row r="5" spans="1:8" x14ac:dyDescent="0.3">
      <c r="A5" s="2"/>
      <c r="B5" s="2" t="s">
        <v>20</v>
      </c>
      <c r="C5" s="2" t="s">
        <v>1203</v>
      </c>
      <c r="D5" s="2" t="s">
        <v>1201</v>
      </c>
      <c r="E5" s="2" t="s">
        <v>22</v>
      </c>
      <c r="F5" s="2" t="s">
        <v>320</v>
      </c>
      <c r="G5" s="2" t="s">
        <v>27</v>
      </c>
      <c r="H5" s="2"/>
    </row>
    <row r="6" spans="1:8" x14ac:dyDescent="0.3">
      <c r="A6" s="12"/>
      <c r="B6" s="26">
        <v>2015</v>
      </c>
      <c r="C6" s="78">
        <v>16344</v>
      </c>
      <c r="D6" s="12"/>
      <c r="E6" s="78">
        <v>4228</v>
      </c>
      <c r="F6" s="12" t="s">
        <v>1411</v>
      </c>
      <c r="G6" s="12"/>
      <c r="H6" s="12"/>
    </row>
    <row r="7" spans="1:8" x14ac:dyDescent="0.3">
      <c r="A7" s="12"/>
      <c r="B7" s="26">
        <v>2016</v>
      </c>
      <c r="C7" s="78">
        <v>17031</v>
      </c>
      <c r="D7" s="12" t="s">
        <v>1412</v>
      </c>
      <c r="E7" s="78">
        <v>4805</v>
      </c>
      <c r="F7" s="12" t="s">
        <v>1413</v>
      </c>
      <c r="G7" s="12"/>
      <c r="H7" s="12"/>
    </row>
    <row r="8" spans="1:8" x14ac:dyDescent="0.3">
      <c r="A8" s="17"/>
      <c r="B8" s="42">
        <v>2017</v>
      </c>
      <c r="C8" s="94">
        <v>16013</v>
      </c>
      <c r="D8" s="17" t="s">
        <v>1414</v>
      </c>
      <c r="E8" s="94">
        <v>4601</v>
      </c>
      <c r="F8" s="17" t="s">
        <v>1415</v>
      </c>
      <c r="G8" s="17" t="s">
        <v>1416</v>
      </c>
      <c r="H8" s="17"/>
    </row>
    <row r="9" spans="1:8" x14ac:dyDescent="0.3">
      <c r="A9" s="12"/>
      <c r="B9" s="26">
        <v>2018</v>
      </c>
      <c r="C9" s="78">
        <v>14457</v>
      </c>
      <c r="D9" s="12" t="s">
        <v>1417</v>
      </c>
      <c r="E9" s="78">
        <v>2925</v>
      </c>
      <c r="F9" s="12" t="s">
        <v>1418</v>
      </c>
      <c r="G9" s="12"/>
      <c r="H9" s="12"/>
    </row>
    <row r="10" spans="1:8" x14ac:dyDescent="0.3">
      <c r="A10" s="12"/>
      <c r="B10" s="26">
        <v>2019</v>
      </c>
      <c r="C10" s="78">
        <v>15240</v>
      </c>
      <c r="D10" s="12" t="s">
        <v>1419</v>
      </c>
      <c r="E10" s="78">
        <v>3398</v>
      </c>
      <c r="F10" s="12" t="s">
        <v>1420</v>
      </c>
      <c r="G10" s="12"/>
      <c r="H10" s="12"/>
    </row>
    <row r="11" spans="1:8" x14ac:dyDescent="0.3">
      <c r="A11" s="57"/>
      <c r="B11" s="46">
        <v>2020</v>
      </c>
      <c r="C11" s="87">
        <v>4792</v>
      </c>
      <c r="D11" s="57" t="s">
        <v>1421</v>
      </c>
      <c r="E11" s="87">
        <v>-2003</v>
      </c>
      <c r="F11" s="47" t="s">
        <v>1422</v>
      </c>
      <c r="G11" s="57" t="s">
        <v>1423</v>
      </c>
      <c r="H11" s="57"/>
    </row>
    <row r="12" spans="1:8" x14ac:dyDescent="0.3">
      <c r="A12" s="57"/>
      <c r="B12" s="46">
        <v>2021</v>
      </c>
      <c r="C12" s="87">
        <v>7884</v>
      </c>
      <c r="D12" s="57" t="s">
        <v>1424</v>
      </c>
      <c r="E12" s="87">
        <v>-705</v>
      </c>
      <c r="F12" s="47" t="s">
        <v>1425</v>
      </c>
      <c r="G12" s="57" t="s">
        <v>1426</v>
      </c>
      <c r="H12" s="57"/>
    </row>
    <row r="13" spans="1:8" x14ac:dyDescent="0.3">
      <c r="A13" s="12"/>
      <c r="B13" s="26">
        <v>2022</v>
      </c>
      <c r="C13" s="78">
        <v>12725</v>
      </c>
      <c r="D13" s="12" t="s">
        <v>1427</v>
      </c>
      <c r="E13" s="78">
        <v>1451</v>
      </c>
      <c r="F13" s="12" t="s">
        <v>1428</v>
      </c>
      <c r="G13" s="12"/>
      <c r="H13" s="12"/>
    </row>
    <row r="14" spans="1:8" x14ac:dyDescent="0.3">
      <c r="A14" s="12"/>
      <c r="B14" s="26">
        <v>2023</v>
      </c>
      <c r="C14" s="78">
        <v>13927</v>
      </c>
      <c r="D14" s="12" t="s">
        <v>1429</v>
      </c>
      <c r="E14" s="78">
        <v>2585</v>
      </c>
      <c r="F14" s="12" t="s">
        <v>1430</v>
      </c>
      <c r="G14" s="12"/>
      <c r="H14" s="12"/>
    </row>
    <row r="15" spans="1:8" x14ac:dyDescent="0.3">
      <c r="A15" s="12"/>
      <c r="B15" s="26">
        <v>2024</v>
      </c>
      <c r="C15" s="78">
        <v>14269</v>
      </c>
      <c r="D15" s="12" t="s">
        <v>1431</v>
      </c>
      <c r="E15" s="78">
        <v>2858</v>
      </c>
      <c r="F15" s="12" t="s">
        <v>820</v>
      </c>
      <c r="G15" s="12"/>
      <c r="H15" s="12"/>
    </row>
    <row r="16" spans="1:8" x14ac:dyDescent="0.3">
      <c r="A16" s="95"/>
      <c r="B16" s="40">
        <v>2025</v>
      </c>
      <c r="C16" s="96">
        <v>14767</v>
      </c>
      <c r="D16" s="95" t="s">
        <v>1206</v>
      </c>
      <c r="E16" s="97">
        <v>2352</v>
      </c>
      <c r="F16" s="98" t="s">
        <v>360</v>
      </c>
      <c r="G16" s="99" t="s">
        <v>1432</v>
      </c>
      <c r="H16" s="95"/>
    </row>
    <row r="18" spans="1:8" x14ac:dyDescent="0.3">
      <c r="A18" s="117" t="s">
        <v>1433</v>
      </c>
      <c r="B18" s="107"/>
      <c r="C18" s="107"/>
      <c r="D18" s="107"/>
      <c r="E18" s="107"/>
      <c r="F18" s="107"/>
      <c r="G18" s="107"/>
      <c r="H18" s="107"/>
    </row>
    <row r="19" spans="1:8" x14ac:dyDescent="0.3">
      <c r="A19" s="171" t="s">
        <v>1434</v>
      </c>
      <c r="B19" s="107"/>
      <c r="C19" s="107"/>
      <c r="D19" s="107"/>
      <c r="E19" s="107"/>
      <c r="F19" s="107"/>
      <c r="G19" s="107"/>
      <c r="H19" s="107"/>
    </row>
    <row r="21" spans="1:8" ht="20.25" x14ac:dyDescent="0.35">
      <c r="A21" s="139" t="s">
        <v>1435</v>
      </c>
      <c r="B21" s="116"/>
      <c r="C21" s="116"/>
      <c r="D21" s="116"/>
      <c r="E21" s="116"/>
      <c r="F21" s="116"/>
      <c r="G21" s="116"/>
      <c r="H21" s="116"/>
    </row>
    <row r="22" spans="1:8" x14ac:dyDescent="0.3">
      <c r="A22" s="2"/>
      <c r="B22" s="2" t="s">
        <v>188</v>
      </c>
      <c r="C22" s="2" t="s">
        <v>875</v>
      </c>
      <c r="D22" s="2" t="s">
        <v>1436</v>
      </c>
      <c r="E22" s="2"/>
      <c r="F22" s="2"/>
      <c r="G22" s="2"/>
      <c r="H22" s="2"/>
    </row>
    <row r="23" spans="1:8" ht="27" x14ac:dyDescent="0.3">
      <c r="A23" s="12"/>
      <c r="B23" s="26" t="s">
        <v>1437</v>
      </c>
      <c r="C23" s="12" t="s">
        <v>1438</v>
      </c>
      <c r="D23" s="12" t="s">
        <v>1439</v>
      </c>
      <c r="E23" s="12"/>
      <c r="F23" s="12"/>
      <c r="G23" s="12"/>
      <c r="H23" s="12"/>
    </row>
    <row r="24" spans="1:8" ht="40.5" x14ac:dyDescent="0.3">
      <c r="A24" s="12"/>
      <c r="B24" s="26" t="s">
        <v>1440</v>
      </c>
      <c r="C24" s="12" t="s">
        <v>1441</v>
      </c>
      <c r="D24" s="12" t="s">
        <v>1442</v>
      </c>
      <c r="E24" s="12"/>
      <c r="F24" s="12"/>
      <c r="G24" s="12"/>
      <c r="H24" s="12"/>
    </row>
    <row r="25" spans="1:8" ht="27" x14ac:dyDescent="0.3">
      <c r="A25" s="12"/>
      <c r="B25" s="26" t="s">
        <v>115</v>
      </c>
      <c r="C25" s="12" t="s">
        <v>1443</v>
      </c>
      <c r="D25" s="12" t="s">
        <v>1444</v>
      </c>
      <c r="E25" s="12"/>
      <c r="F25" s="12"/>
      <c r="G25" s="12"/>
      <c r="H25" s="12"/>
    </row>
    <row r="26" spans="1:8" ht="27" x14ac:dyDescent="0.3">
      <c r="A26" s="12"/>
      <c r="B26" s="26" t="s">
        <v>1445</v>
      </c>
      <c r="C26" s="12" t="s">
        <v>1446</v>
      </c>
      <c r="D26" s="12" t="s">
        <v>1447</v>
      </c>
      <c r="E26" s="12"/>
      <c r="F26" s="12"/>
      <c r="G26" s="12"/>
      <c r="H26" s="12"/>
    </row>
    <row r="27" spans="1:8" ht="27" x14ac:dyDescent="0.3">
      <c r="A27" s="12"/>
      <c r="B27" s="26" t="s">
        <v>1448</v>
      </c>
      <c r="C27" s="12" t="s">
        <v>1449</v>
      </c>
      <c r="D27" s="12" t="s">
        <v>1450</v>
      </c>
      <c r="E27" s="12"/>
      <c r="F27" s="12"/>
      <c r="G27" s="12"/>
      <c r="H27" s="12"/>
    </row>
    <row r="29" spans="1:8" ht="20.25" x14ac:dyDescent="0.35">
      <c r="A29" s="139" t="s">
        <v>1451</v>
      </c>
      <c r="B29" s="116"/>
      <c r="C29" s="116"/>
      <c r="D29" s="116"/>
      <c r="E29" s="116"/>
      <c r="F29" s="116"/>
      <c r="G29" s="116"/>
      <c r="H29" s="116"/>
    </row>
    <row r="30" spans="1:8" x14ac:dyDescent="0.3">
      <c r="A30" s="117" t="s">
        <v>1452</v>
      </c>
      <c r="B30" s="107"/>
      <c r="C30" s="107"/>
      <c r="D30" s="107"/>
      <c r="E30" s="107"/>
      <c r="F30" s="107"/>
      <c r="G30" s="107"/>
      <c r="H30" s="107"/>
    </row>
    <row r="31" spans="1:8" x14ac:dyDescent="0.3">
      <c r="A31" s="117" t="s">
        <v>1453</v>
      </c>
      <c r="B31" s="107"/>
      <c r="C31" s="107"/>
      <c r="D31" s="107"/>
      <c r="E31" s="107"/>
      <c r="F31" s="107"/>
      <c r="G31" s="107"/>
      <c r="H31" s="107"/>
    </row>
    <row r="32" spans="1:8" x14ac:dyDescent="0.3">
      <c r="A32" s="117" t="s">
        <v>1454</v>
      </c>
      <c r="B32" s="107"/>
      <c r="C32" s="107"/>
      <c r="D32" s="107"/>
      <c r="E32" s="107"/>
      <c r="F32" s="107"/>
      <c r="G32" s="107"/>
      <c r="H32" s="107"/>
    </row>
    <row r="33" spans="1:8" x14ac:dyDescent="0.3">
      <c r="A33" s="117" t="s">
        <v>1455</v>
      </c>
      <c r="B33" s="107"/>
      <c r="C33" s="107"/>
      <c r="D33" s="107"/>
      <c r="E33" s="107"/>
      <c r="F33" s="107"/>
      <c r="G33" s="107"/>
      <c r="H33" s="107"/>
    </row>
    <row r="34" spans="1:8" x14ac:dyDescent="0.3">
      <c r="A34" s="171" t="s">
        <v>1456</v>
      </c>
      <c r="B34" s="107"/>
      <c r="C34" s="107"/>
      <c r="D34" s="107"/>
      <c r="E34" s="107"/>
      <c r="F34" s="107"/>
      <c r="G34" s="107"/>
      <c r="H34" s="107"/>
    </row>
  </sheetData>
  <mergeCells count="11">
    <mergeCell ref="A33:H33"/>
    <mergeCell ref="A32:H32"/>
    <mergeCell ref="A31:H31"/>
    <mergeCell ref="A1:H2"/>
    <mergeCell ref="A34:H34"/>
    <mergeCell ref="A18:H18"/>
    <mergeCell ref="A4:H4"/>
    <mergeCell ref="A21:H21"/>
    <mergeCell ref="A30:H30"/>
    <mergeCell ref="A29:H29"/>
    <mergeCell ref="A19:H19"/>
  </mergeCells>
  <phoneticPr fontId="37" type="noConversion"/>
  <printOptions horizontalCentered="1"/>
  <pageMargins left="0.75" right="0.75" top="1" bottom="1" header="0.5" footer="0.5"/>
  <pageSetup scale="8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H39"/>
  <sheetViews>
    <sheetView workbookViewId="0"/>
  </sheetViews>
  <sheetFormatPr defaultRowHeight="16.5" x14ac:dyDescent="0.3"/>
  <cols>
    <col min="1" max="1" width="4" customWidth="1"/>
    <col min="2" max="2" width="28" customWidth="1"/>
    <col min="3" max="8" width="14" customWidth="1"/>
  </cols>
  <sheetData>
    <row r="1" spans="1:8" ht="35.1" customHeight="1" x14ac:dyDescent="0.3">
      <c r="A1" s="160" t="s">
        <v>1457</v>
      </c>
      <c r="B1" s="107"/>
      <c r="C1" s="107"/>
      <c r="D1" s="107"/>
      <c r="E1" s="107"/>
      <c r="F1" s="107"/>
      <c r="G1" s="107"/>
      <c r="H1" s="107"/>
    </row>
    <row r="2" spans="1:8" x14ac:dyDescent="0.3">
      <c r="A2" s="107"/>
      <c r="B2" s="107"/>
      <c r="C2" s="107"/>
      <c r="D2" s="107"/>
      <c r="E2" s="107"/>
      <c r="F2" s="107"/>
      <c r="G2" s="107"/>
      <c r="H2" s="107"/>
    </row>
    <row r="4" spans="1:8" ht="20.25" x14ac:dyDescent="0.35">
      <c r="A4" s="139" t="s">
        <v>1458</v>
      </c>
      <c r="B4" s="116"/>
      <c r="C4" s="116"/>
      <c r="D4" s="116"/>
      <c r="E4" s="116"/>
      <c r="F4" s="116"/>
      <c r="G4" s="116"/>
      <c r="H4" s="116"/>
    </row>
    <row r="6" spans="1:8" x14ac:dyDescent="0.3">
      <c r="B6" s="173" t="s">
        <v>1459</v>
      </c>
      <c r="C6" s="153"/>
      <c r="D6" s="153"/>
      <c r="E6" s="153"/>
      <c r="F6" s="153"/>
      <c r="G6" s="153"/>
      <c r="H6" s="154"/>
    </row>
    <row r="7" spans="1:8" x14ac:dyDescent="0.3">
      <c r="B7" s="155"/>
      <c r="C7" s="107"/>
      <c r="D7" s="107"/>
      <c r="E7" s="107"/>
      <c r="F7" s="107"/>
      <c r="G7" s="107"/>
      <c r="H7" s="156"/>
    </row>
    <row r="8" spans="1:8" x14ac:dyDescent="0.3">
      <c r="B8" s="155"/>
      <c r="C8" s="107"/>
      <c r="D8" s="107"/>
      <c r="E8" s="107"/>
      <c r="F8" s="107"/>
      <c r="G8" s="107"/>
      <c r="H8" s="156"/>
    </row>
    <row r="9" spans="1:8" x14ac:dyDescent="0.3">
      <c r="B9" s="155"/>
      <c r="C9" s="107"/>
      <c r="D9" s="107"/>
      <c r="E9" s="107"/>
      <c r="F9" s="107"/>
      <c r="G9" s="107"/>
      <c r="H9" s="156"/>
    </row>
    <row r="10" spans="1:8" x14ac:dyDescent="0.3">
      <c r="B10" s="157"/>
      <c r="C10" s="158"/>
      <c r="D10" s="158"/>
      <c r="E10" s="158"/>
      <c r="F10" s="158"/>
      <c r="G10" s="158"/>
      <c r="H10" s="159"/>
    </row>
    <row r="12" spans="1:8" ht="20.25" x14ac:dyDescent="0.35">
      <c r="A12" s="139" t="s">
        <v>1460</v>
      </c>
      <c r="B12" s="116"/>
      <c r="C12" s="116"/>
      <c r="D12" s="116"/>
      <c r="E12" s="116"/>
      <c r="F12" s="116"/>
      <c r="G12" s="116"/>
      <c r="H12" s="116"/>
    </row>
    <row r="13" spans="1:8" x14ac:dyDescent="0.3">
      <c r="A13" s="2"/>
      <c r="B13" s="2" t="s">
        <v>1461</v>
      </c>
      <c r="C13" s="2" t="s">
        <v>1225</v>
      </c>
      <c r="D13" s="2" t="s">
        <v>171</v>
      </c>
      <c r="E13" s="2" t="s">
        <v>1462</v>
      </c>
      <c r="F13" s="2" t="s">
        <v>1463</v>
      </c>
      <c r="G13" s="2"/>
      <c r="H13" s="2"/>
    </row>
    <row r="14" spans="1:8" ht="27" x14ac:dyDescent="0.3">
      <c r="A14" s="17"/>
      <c r="B14" s="36" t="s">
        <v>1232</v>
      </c>
      <c r="C14" s="17" t="s">
        <v>1464</v>
      </c>
      <c r="D14" s="17" t="s">
        <v>1465</v>
      </c>
      <c r="E14" s="17" t="s">
        <v>1466</v>
      </c>
      <c r="F14" s="17" t="s">
        <v>1467</v>
      </c>
      <c r="G14" s="17"/>
      <c r="H14" s="17"/>
    </row>
    <row r="15" spans="1:8" ht="27" x14ac:dyDescent="0.3">
      <c r="A15" s="17"/>
      <c r="B15" s="36" t="s">
        <v>1232</v>
      </c>
      <c r="C15" s="17" t="s">
        <v>1468</v>
      </c>
      <c r="D15" s="17" t="s">
        <v>1235</v>
      </c>
      <c r="E15" s="17" t="s">
        <v>1469</v>
      </c>
      <c r="F15" s="17" t="s">
        <v>1470</v>
      </c>
      <c r="G15" s="17"/>
      <c r="H15" s="17"/>
    </row>
    <row r="16" spans="1:8" ht="27" x14ac:dyDescent="0.3">
      <c r="A16" s="57"/>
      <c r="B16" s="47" t="s">
        <v>1238</v>
      </c>
      <c r="C16" s="57" t="s">
        <v>1399</v>
      </c>
      <c r="D16" s="57" t="s">
        <v>1471</v>
      </c>
      <c r="E16" s="57" t="s">
        <v>1472</v>
      </c>
      <c r="F16" s="57" t="s">
        <v>1473</v>
      </c>
      <c r="G16" s="57"/>
      <c r="H16" s="57"/>
    </row>
    <row r="17" spans="1:8" ht="27" x14ac:dyDescent="0.3">
      <c r="A17" s="57"/>
      <c r="B17" s="47" t="s">
        <v>1238</v>
      </c>
      <c r="C17" s="57" t="s">
        <v>1474</v>
      </c>
      <c r="D17" s="57" t="s">
        <v>1475</v>
      </c>
      <c r="E17" s="57" t="s">
        <v>1476</v>
      </c>
      <c r="F17" s="57" t="s">
        <v>1477</v>
      </c>
      <c r="G17" s="57"/>
      <c r="H17" s="57"/>
    </row>
    <row r="18" spans="1:8" ht="27" x14ac:dyDescent="0.3">
      <c r="A18" s="12"/>
      <c r="B18" s="26" t="s">
        <v>1245</v>
      </c>
      <c r="C18" s="12" t="s">
        <v>1478</v>
      </c>
      <c r="D18" s="12" t="s">
        <v>1479</v>
      </c>
      <c r="E18" s="12" t="s">
        <v>1480</v>
      </c>
      <c r="F18" s="12" t="s">
        <v>1481</v>
      </c>
      <c r="G18" s="12"/>
      <c r="H18" s="12"/>
    </row>
    <row r="20" spans="1:8" ht="20.25" x14ac:dyDescent="0.35">
      <c r="A20" s="139" t="s">
        <v>1482</v>
      </c>
      <c r="B20" s="116"/>
      <c r="C20" s="116"/>
      <c r="D20" s="116"/>
      <c r="E20" s="116"/>
      <c r="F20" s="116"/>
      <c r="G20" s="116"/>
      <c r="H20" s="116"/>
    </row>
    <row r="21" spans="1:8" x14ac:dyDescent="0.3">
      <c r="A21" s="2"/>
      <c r="B21" s="2" t="s">
        <v>424</v>
      </c>
      <c r="C21" s="2" t="s">
        <v>1483</v>
      </c>
      <c r="D21" s="2" t="s">
        <v>1484</v>
      </c>
      <c r="E21" s="2" t="s">
        <v>1485</v>
      </c>
      <c r="F21" s="2" t="s">
        <v>27</v>
      </c>
      <c r="G21" s="2"/>
      <c r="H21" s="2"/>
    </row>
    <row r="22" spans="1:8" ht="27" x14ac:dyDescent="0.3">
      <c r="A22" s="17"/>
      <c r="B22" s="42" t="s">
        <v>1486</v>
      </c>
      <c r="C22" s="17" t="s">
        <v>1487</v>
      </c>
      <c r="D22" s="17" t="s">
        <v>1488</v>
      </c>
      <c r="E22" s="17" t="s">
        <v>1489</v>
      </c>
      <c r="F22" s="17" t="s">
        <v>1490</v>
      </c>
      <c r="G22" s="17"/>
      <c r="H22" s="17"/>
    </row>
    <row r="23" spans="1:8" ht="27" x14ac:dyDescent="0.3">
      <c r="A23" s="95"/>
      <c r="B23" s="40" t="s">
        <v>1491</v>
      </c>
      <c r="C23" s="95" t="s">
        <v>1492</v>
      </c>
      <c r="D23" s="95" t="s">
        <v>1493</v>
      </c>
      <c r="E23" s="95" t="s">
        <v>1494</v>
      </c>
      <c r="F23" s="95" t="s">
        <v>1495</v>
      </c>
      <c r="G23" s="95"/>
      <c r="H23" s="95"/>
    </row>
    <row r="24" spans="1:8" ht="27" x14ac:dyDescent="0.3">
      <c r="A24" s="57"/>
      <c r="B24" s="46" t="s">
        <v>1496</v>
      </c>
      <c r="C24" s="57" t="s">
        <v>1497</v>
      </c>
      <c r="D24" s="57" t="s">
        <v>1498</v>
      </c>
      <c r="E24" s="57" t="s">
        <v>543</v>
      </c>
      <c r="F24" s="57" t="s">
        <v>1499</v>
      </c>
      <c r="G24" s="57"/>
      <c r="H24" s="57"/>
    </row>
    <row r="26" spans="1:8" ht="20.25" x14ac:dyDescent="0.35">
      <c r="A26" s="139" t="s">
        <v>1500</v>
      </c>
      <c r="B26" s="116"/>
      <c r="C26" s="116"/>
      <c r="D26" s="116"/>
      <c r="E26" s="116"/>
      <c r="F26" s="116"/>
      <c r="G26" s="116"/>
      <c r="H26" s="116"/>
    </row>
    <row r="27" spans="1:8" x14ac:dyDescent="0.3">
      <c r="A27" s="117" t="s">
        <v>1501</v>
      </c>
      <c r="B27" s="107"/>
      <c r="C27" s="107"/>
      <c r="D27" s="107"/>
      <c r="E27" s="107"/>
      <c r="F27" s="107"/>
      <c r="G27" s="107"/>
      <c r="H27" s="107"/>
    </row>
    <row r="28" spans="1:8" x14ac:dyDescent="0.3">
      <c r="A28" s="117" t="s">
        <v>1502</v>
      </c>
      <c r="B28" s="107"/>
      <c r="C28" s="107"/>
      <c r="D28" s="107"/>
      <c r="E28" s="107"/>
      <c r="F28" s="107"/>
      <c r="G28" s="107"/>
      <c r="H28" s="107"/>
    </row>
    <row r="29" spans="1:8" x14ac:dyDescent="0.3">
      <c r="A29" s="117" t="s">
        <v>1503</v>
      </c>
      <c r="B29" s="107"/>
      <c r="C29" s="107"/>
      <c r="D29" s="107"/>
      <c r="E29" s="107"/>
      <c r="F29" s="107"/>
      <c r="G29" s="107"/>
      <c r="H29" s="107"/>
    </row>
    <row r="30" spans="1:8" x14ac:dyDescent="0.3">
      <c r="A30" s="117" t="s">
        <v>1504</v>
      </c>
      <c r="B30" s="107"/>
      <c r="C30" s="107"/>
      <c r="D30" s="107"/>
      <c r="E30" s="107"/>
      <c r="F30" s="107"/>
      <c r="G30" s="107"/>
      <c r="H30" s="107"/>
    </row>
    <row r="31" spans="1:8" x14ac:dyDescent="0.3">
      <c r="A31" s="117" t="s">
        <v>1505</v>
      </c>
      <c r="B31" s="107"/>
      <c r="C31" s="107"/>
      <c r="D31" s="107"/>
      <c r="E31" s="107"/>
      <c r="F31" s="107"/>
      <c r="G31" s="107"/>
      <c r="H31" s="107"/>
    </row>
    <row r="32" spans="1:8" x14ac:dyDescent="0.3">
      <c r="A32" s="117" t="s">
        <v>1506</v>
      </c>
      <c r="B32" s="107"/>
      <c r="C32" s="107"/>
      <c r="D32" s="107"/>
      <c r="E32" s="107"/>
      <c r="F32" s="107"/>
      <c r="G32" s="107"/>
      <c r="H32" s="107"/>
    </row>
    <row r="34" spans="1:8" ht="20.25" x14ac:dyDescent="0.35">
      <c r="A34" s="139" t="s">
        <v>1507</v>
      </c>
      <c r="B34" s="116"/>
      <c r="C34" s="116"/>
      <c r="D34" s="116"/>
      <c r="E34" s="116"/>
      <c r="F34" s="116"/>
      <c r="G34" s="116"/>
      <c r="H34" s="116"/>
    </row>
    <row r="36" spans="1:8" x14ac:dyDescent="0.3">
      <c r="B36" s="172" t="s">
        <v>1508</v>
      </c>
      <c r="C36" s="153"/>
      <c r="D36" s="153"/>
      <c r="E36" s="153"/>
      <c r="F36" s="153"/>
      <c r="G36" s="153"/>
      <c r="H36" s="154"/>
    </row>
    <row r="37" spans="1:8" x14ac:dyDescent="0.3">
      <c r="B37" s="155"/>
      <c r="C37" s="107"/>
      <c r="D37" s="107"/>
      <c r="E37" s="107"/>
      <c r="F37" s="107"/>
      <c r="G37" s="107"/>
      <c r="H37" s="156"/>
    </row>
    <row r="38" spans="1:8" x14ac:dyDescent="0.3">
      <c r="B38" s="155"/>
      <c r="C38" s="107"/>
      <c r="D38" s="107"/>
      <c r="E38" s="107"/>
      <c r="F38" s="107"/>
      <c r="G38" s="107"/>
      <c r="H38" s="156"/>
    </row>
    <row r="39" spans="1:8" x14ac:dyDescent="0.3">
      <c r="B39" s="157"/>
      <c r="C39" s="158"/>
      <c r="D39" s="158"/>
      <c r="E39" s="158"/>
      <c r="F39" s="158"/>
      <c r="G39" s="158"/>
      <c r="H39" s="159"/>
    </row>
  </sheetData>
  <mergeCells count="14">
    <mergeCell ref="B36:H39"/>
    <mergeCell ref="A20:H20"/>
    <mergeCell ref="A28:H28"/>
    <mergeCell ref="A32:H32"/>
    <mergeCell ref="A1:H2"/>
    <mergeCell ref="A27:H27"/>
    <mergeCell ref="A31:H31"/>
    <mergeCell ref="B6:H10"/>
    <mergeCell ref="A34:H34"/>
    <mergeCell ref="A12:H12"/>
    <mergeCell ref="A4:H4"/>
    <mergeCell ref="A26:H26"/>
    <mergeCell ref="A30:H30"/>
    <mergeCell ref="A29:H29"/>
  </mergeCells>
  <phoneticPr fontId="37" type="noConversion"/>
  <printOptions horizontalCentered="1"/>
  <pageMargins left="0.75" right="0.75" top="1" bottom="1" header="0.5" footer="0.5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표지</vt:lpstr>
      <vt:lpstr>핵심실적</vt:lpstr>
      <vt:lpstr>2025실적</vt:lpstr>
      <vt:lpstr>사업구조</vt:lpstr>
      <vt:lpstr>주주환원</vt:lpstr>
      <vt:lpstr>규제_면허</vt:lpstr>
      <vt:lpstr>밸류에이션</vt:lpstr>
      <vt:lpstr>PER분석</vt:lpstr>
      <vt:lpstr>PBR_ROE</vt:lpstr>
      <vt:lpstr>EV_EBITDA</vt:lpstr>
      <vt:lpstr>시나리오</vt:lpstr>
      <vt:lpstr>모니터링</vt:lpstr>
      <vt:lpstr>Four Filters</vt:lpstr>
      <vt:lpstr>경제적_해자</vt:lpstr>
      <vt:lpstr>경영진_평가</vt:lpstr>
      <vt:lpstr>자본배분</vt:lpstr>
      <vt:lpstr>수익성_품질</vt:lpstr>
      <vt:lpstr>내재가치_안전마진</vt:lpstr>
      <vt:lpstr>투자판정</vt:lpstr>
      <vt:lpstr>요약</vt:lpstr>
      <vt:lpstr>비용구조</vt:lpstr>
      <vt:lpstr>일시적요인</vt:lpstr>
      <vt:lpstr>퇴직급여</vt:lpstr>
      <vt:lpstr>인건비구조</vt:lpstr>
      <vt:lpstr>매출천장</vt:lpstr>
      <vt:lpstr>종합판단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Jooyong Kim</cp:lastModifiedBy>
  <cp:lastPrinted>2026-02-07T09:36:34Z</cp:lastPrinted>
  <dcterms:created xsi:type="dcterms:W3CDTF">2026-02-07T08:47:55Z</dcterms:created>
  <dcterms:modified xsi:type="dcterms:W3CDTF">2026-02-07T09:36:38Z</dcterms:modified>
</cp:coreProperties>
</file>