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핵심실적" sheetId="2" state="visible" r:id="rId2"/>
    <sheet xmlns:r="http://schemas.openxmlformats.org/officeDocument/2006/relationships" name="2025실적" sheetId="3" state="visible" r:id="rId3"/>
    <sheet xmlns:r="http://schemas.openxmlformats.org/officeDocument/2006/relationships" name="사업구조" sheetId="4" state="visible" r:id="rId4"/>
    <sheet xmlns:r="http://schemas.openxmlformats.org/officeDocument/2006/relationships" name="주주환원" sheetId="5" state="visible" r:id="rId5"/>
    <sheet xmlns:r="http://schemas.openxmlformats.org/officeDocument/2006/relationships" name="R&amp;D_특허" sheetId="6" state="visible" r:id="rId6"/>
    <sheet xmlns:r="http://schemas.openxmlformats.org/officeDocument/2006/relationships" name="밸류에이션" sheetId="7" state="visible" r:id="rId7"/>
    <sheet xmlns:r="http://schemas.openxmlformats.org/officeDocument/2006/relationships" name="PER분석" sheetId="8" state="visible" r:id="rId8"/>
    <sheet xmlns:r="http://schemas.openxmlformats.org/officeDocument/2006/relationships" name="PBR_ROE_RIM" sheetId="9" state="visible" r:id="rId9"/>
    <sheet xmlns:r="http://schemas.openxmlformats.org/officeDocument/2006/relationships" name="EV_EBITDA_FCF" sheetId="10" state="visible" r:id="rId10"/>
    <sheet xmlns:r="http://schemas.openxmlformats.org/officeDocument/2006/relationships" name="시나리오_SWOT" sheetId="11" state="visible" r:id="rId11"/>
    <sheet xmlns:r="http://schemas.openxmlformats.org/officeDocument/2006/relationships" name="모니터링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32"/>
    </font>
    <font>
      <name val="맑은 고딕"/>
      <color rgb="00D4A843"/>
      <sz val="18"/>
    </font>
    <font>
      <name val="맑은 고딕"/>
      <color rgb="00B0C4DE"/>
      <sz val="11"/>
    </font>
    <font>
      <name val="맑은 고딕"/>
      <color rgb="008899AA"/>
      <sz val="11"/>
    </font>
    <font>
      <name val="맑은 고딕"/>
      <b val="1"/>
      <color rgb="00FFFFFF"/>
      <sz val="11"/>
    </font>
    <font>
      <name val="맑은 고딕"/>
      <color rgb="00D4A843"/>
      <sz val="10"/>
    </font>
    <font>
      <name val="맑은 고딕"/>
      <b val="1"/>
      <color rgb="00AED6F1"/>
      <sz val="10"/>
    </font>
    <font>
      <name val="맑은 고딕"/>
      <b val="1"/>
      <color rgb="001B2A4A"/>
      <sz val="14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C0392B"/>
      <sz val="10"/>
    </font>
    <font>
      <name val="맑은 고딕"/>
      <b val="1"/>
      <color rgb="0027AE60"/>
      <sz val="10"/>
    </font>
    <font>
      <name val="맑은 고딕"/>
      <color rgb="00666666"/>
      <sz val="9"/>
    </font>
    <font>
      <name val="맑은 고딕"/>
      <b val="1"/>
      <color rgb="003A5BA0"/>
      <sz val="10"/>
    </font>
    <font>
      <name val="맑은 고딕"/>
      <b val="1"/>
      <color rgb="00FFFFFF"/>
      <sz val="18"/>
    </font>
    <font>
      <name val="맑은 고딕"/>
      <b val="1"/>
      <color rgb="000000FF"/>
      <sz val="10"/>
    </font>
    <font>
      <name val="맑은 고딕"/>
      <b val="1"/>
      <color rgb="002E86C1"/>
      <sz val="10"/>
    </font>
    <font>
      <name val="맑은 고딕"/>
      <b val="1"/>
      <color rgb="0027AE60"/>
      <sz val="12"/>
    </font>
    <font>
      <name val="맑은 고딕"/>
      <b val="1"/>
      <color rgb="001B2A4A"/>
      <sz val="12"/>
    </font>
    <font>
      <name val="맑은 고딕"/>
      <b val="1"/>
      <color rgb="00C0392B"/>
      <sz val="12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BF1F8"/>
      </patternFill>
    </fill>
    <fill>
      <patternFill patternType="solid">
        <fgColor rgb="00D6EAF8"/>
      </patternFill>
    </fill>
    <fill>
      <patternFill patternType="solid">
        <fgColor rgb="00F2F2F2"/>
      </patternFill>
    </fill>
    <fill>
      <patternFill patternType="solid">
        <fgColor rgb="00F8D7DA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E5E7E9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3" fontId="11" fillId="5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3" fontId="12" fillId="5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3" fontId="10" fillId="6" borderId="2" applyAlignment="1" pivotButton="0" quotePrefix="0" xfId="0">
      <alignment horizontal="right" vertical="center"/>
    </xf>
    <xf numFmtId="164" fontId="10" fillId="6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 wrapText="1"/>
    </xf>
    <xf numFmtId="3" fontId="11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right" vertical="center"/>
    </xf>
    <xf numFmtId="0" fontId="13" fillId="5" borderId="2" applyAlignment="1" pivotButton="0" quotePrefix="0" xfId="0">
      <alignment horizontal="right" vertical="center"/>
    </xf>
    <xf numFmtId="0" fontId="12" fillId="5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2" borderId="0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right" vertical="center"/>
    </xf>
    <xf numFmtId="0" fontId="17" fillId="9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right" vertical="center"/>
    </xf>
    <xf numFmtId="0" fontId="10" fillId="0" borderId="0" pivotButton="0" quotePrefix="0" xfId="0"/>
    <xf numFmtId="0" fontId="14" fillId="0" borderId="0" pivotButton="0" quotePrefix="0" xfId="0"/>
    <xf numFmtId="0" fontId="12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right" vertical="center"/>
    </xf>
    <xf numFmtId="0" fontId="9" fillId="12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21" fillId="11" borderId="2" applyAlignment="1" pivotButton="0" quotePrefix="0" xfId="0">
      <alignment horizontal="right" vertical="center"/>
    </xf>
    <xf numFmtId="0" fontId="11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right" vertical="center"/>
    </xf>
    <xf numFmtId="0" fontId="20" fillId="9" borderId="2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1" fillId="1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2" t="inlineStr">
        <is>
          <t>엠씨넥스(MCNEX)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3" t="inlineStr">
        <is>
          <t>심층 기업분석 + 밸류에이션 종합보고서</t>
        </is>
      </c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4" t="inlineStr">
        <is>
          <t>097520 (유가증권)  |  기타 영상기기 제조업  |  CCM(카메라모듈) 전문기업</t>
        </is>
      </c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5" t="inlineStr">
        <is>
          <t>현재주가</t>
        </is>
      </c>
      <c r="D14" s="6" t="inlineStr">
        <is>
          <t>28,100원 (2026.02.06 기준)</t>
        </is>
      </c>
      <c r="G14" s="1" t="n"/>
    </row>
    <row r="15">
      <c r="A15" s="1" t="n"/>
      <c r="B15" s="5" t="inlineStr">
        <is>
          <t>시가총액</t>
        </is>
      </c>
      <c r="D15" s="6" t="inlineStr">
        <is>
          <t>5,052억 (유통시총 4,740억)</t>
        </is>
      </c>
      <c r="G15" s="1" t="n"/>
    </row>
    <row r="16">
      <c r="A16" s="1" t="n"/>
      <c r="B16" s="5" t="inlineStr">
        <is>
          <t>대표이사 / 설립일</t>
        </is>
      </c>
      <c r="D16" s="6" t="inlineStr">
        <is>
          <t>민동욱 / 2004.12.22</t>
        </is>
      </c>
      <c r="G16" s="1" t="n"/>
    </row>
    <row r="17">
      <c r="A17" s="1" t="n"/>
      <c r="B17" s="5" t="inlineStr">
        <is>
          <t>본사</t>
        </is>
      </c>
      <c r="D17" s="6" t="inlineStr">
        <is>
          <t>인천 연수구 송도과학로16번길 13-39 엠씨넥스타워</t>
        </is>
      </c>
      <c r="G17" s="1" t="n"/>
    </row>
    <row r="18">
      <c r="A18" s="1" t="n"/>
      <c r="B18" s="5" t="inlineStr">
        <is>
          <t>주요고객</t>
        </is>
      </c>
      <c r="D18" s="6" t="inlineStr">
        <is>
          <t>삼성전자(모바일 CCM), 현대모비스(전장 카메라)</t>
        </is>
      </c>
      <c r="G18" s="1" t="n"/>
    </row>
    <row r="19">
      <c r="A19" s="1" t="n"/>
      <c r="B19" s="5" t="inlineStr">
        <is>
          <t>생산기지</t>
        </is>
      </c>
      <c r="D19" s="6" t="inlineStr">
        <is>
          <t>한국(R&amp;D+생산), 베트남(VINA 1~3공장)</t>
        </is>
      </c>
      <c r="G19" s="1" t="n"/>
    </row>
    <row r="20">
      <c r="A20" s="1" t="n"/>
      <c r="B20" s="5" t="inlineStr">
        <is>
          <t>분석기준일</t>
        </is>
      </c>
      <c r="D20" s="6" t="inlineStr">
        <is>
          <t>2026년 2월 6일 | 데이터: OpenDART 574건 전수분석</t>
        </is>
      </c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7" t="inlineStr">
        <is>
          <t>핵심 밸류에이션 (현재가 28,100원 기준):
• PER 7.7배(2024) / 7.0배(T4Q) — 업종 10~15배 대비 저평가
• PBR 1.36배 | EV/EBITDA 5.7배 | FCF수익률 9.1%
• 2025 9M: 매출 YoY+29%, 영업이익 YoY+69%. 연환산 매출 1.3조 역대 최고</t>
        </is>
      </c>
      <c r="G23" s="1" t="n"/>
    </row>
    <row r="24">
      <c r="A24" s="1" t="n"/>
      <c r="G24" s="1" t="n"/>
    </row>
    <row r="25">
      <c r="A25" s="1" t="n"/>
      <c r="G25" s="1" t="n"/>
    </row>
    <row r="26">
      <c r="A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8" t="inlineStr">
        <is>
          <t>시나리오별 목표: Bull ~55,000원(+96%) | Base ~40,000원(+42%) | Bear ~18,500원(-34%)</t>
        </is>
      </c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</sheetData>
  <mergeCells count="19">
    <mergeCell ref="B16:C16"/>
    <mergeCell ref="D17:F17"/>
    <mergeCell ref="B18:C18"/>
    <mergeCell ref="D16:F16"/>
    <mergeCell ref="B11:F11"/>
    <mergeCell ref="D18:F18"/>
    <mergeCell ref="B14:C14"/>
    <mergeCell ref="B8:F8"/>
    <mergeCell ref="B17:C17"/>
    <mergeCell ref="D15:F15"/>
    <mergeCell ref="D14:F14"/>
    <mergeCell ref="B19:C19"/>
    <mergeCell ref="B28:F28"/>
    <mergeCell ref="D20:F20"/>
    <mergeCell ref="D19:F19"/>
    <mergeCell ref="B6:F6"/>
    <mergeCell ref="B15:C15"/>
    <mergeCell ref="B20:C20"/>
    <mergeCell ref="B23:F26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 fitToPage="1"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>
      <c r="A1" s="9" t="inlineStr">
        <is>
          <t>10년 연결 재무실적 (단위: 억원)</t>
        </is>
      </c>
    </row>
    <row r="3">
      <c r="A3" s="10" t="inlineStr">
        <is>
          <t>연도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EPS(원)</t>
        </is>
      </c>
      <c r="F3" s="10" t="inlineStr">
        <is>
          <t>총자산</t>
        </is>
      </c>
      <c r="G3" s="10" t="inlineStr">
        <is>
          <t>총부채</t>
        </is>
      </c>
      <c r="H3" s="10" t="inlineStr">
        <is>
          <t>총자본</t>
        </is>
      </c>
      <c r="I3" s="10" t="inlineStr">
        <is>
          <t>부채비율</t>
        </is>
      </c>
      <c r="J3" s="10" t="inlineStr">
        <is>
          <t>영업이익률</t>
        </is>
      </c>
      <c r="K3" s="10" t="inlineStr">
        <is>
          <t>ROE</t>
        </is>
      </c>
    </row>
    <row r="4">
      <c r="A4" s="11" t="inlineStr">
        <is>
          <t>2015</t>
        </is>
      </c>
      <c r="B4" s="12" t="n">
        <v>5028</v>
      </c>
      <c r="C4" s="12" t="n">
        <v>262</v>
      </c>
      <c r="D4" s="12" t="n">
        <v>161</v>
      </c>
      <c r="E4" s="12" t="n">
        <v>1833</v>
      </c>
      <c r="F4" s="12" t="n">
        <v>2725</v>
      </c>
      <c r="G4" s="12" t="n">
        <v>1815</v>
      </c>
      <c r="H4" s="12" t="n">
        <v>910</v>
      </c>
      <c r="I4" s="13">
        <f>G4/H4</f>
        <v/>
      </c>
      <c r="J4" s="13">
        <f>C4/B4</f>
        <v/>
      </c>
      <c r="K4" s="13">
        <f>D4/H4</f>
        <v/>
      </c>
    </row>
    <row r="5">
      <c r="A5" s="11" t="inlineStr">
        <is>
          <t>2016</t>
        </is>
      </c>
      <c r="B5" s="12" t="n">
        <v>4124</v>
      </c>
      <c r="C5" s="14" t="n">
        <v>-239</v>
      </c>
      <c r="D5" s="14" t="n">
        <v>-247</v>
      </c>
      <c r="E5" s="12" t="n">
        <v>-2824</v>
      </c>
      <c r="F5" s="12" t="n">
        <v>2946</v>
      </c>
      <c r="G5" s="12" t="n">
        <v>2310</v>
      </c>
      <c r="H5" s="12" t="n">
        <v>636</v>
      </c>
      <c r="I5" s="13">
        <f>G5/H5</f>
        <v/>
      </c>
      <c r="J5" s="13">
        <f>C5/B5</f>
        <v/>
      </c>
      <c r="K5" s="13">
        <f>D5/((H5+H4)/2)</f>
        <v/>
      </c>
    </row>
    <row r="6">
      <c r="A6" s="11" t="inlineStr">
        <is>
          <t>2017</t>
        </is>
      </c>
      <c r="B6" s="12" t="n">
        <v>6684</v>
      </c>
      <c r="C6" s="12" t="n">
        <v>196</v>
      </c>
      <c r="D6" s="14" t="n">
        <v>-9</v>
      </c>
      <c r="E6" s="12" t="n">
        <v>-100</v>
      </c>
      <c r="F6" s="12" t="n">
        <v>3877</v>
      </c>
      <c r="G6" s="12" t="n">
        <v>2897</v>
      </c>
      <c r="H6" s="12" t="n">
        <v>980</v>
      </c>
      <c r="I6" s="13">
        <f>G6/H6</f>
        <v/>
      </c>
      <c r="J6" s="13">
        <f>C6/B6</f>
        <v/>
      </c>
      <c r="K6" s="13">
        <f>D6/((H6+H5)/2)</f>
        <v/>
      </c>
    </row>
    <row r="7">
      <c r="A7" s="11" t="inlineStr">
        <is>
          <t>2018</t>
        </is>
      </c>
      <c r="B7" s="12" t="n">
        <v>6969</v>
      </c>
      <c r="C7" s="12" t="n">
        <v>411</v>
      </c>
      <c r="D7" s="12" t="n">
        <v>298</v>
      </c>
      <c r="E7" s="12" t="n">
        <v>2161</v>
      </c>
      <c r="F7" s="12" t="n">
        <v>3910</v>
      </c>
      <c r="G7" s="12" t="n">
        <v>2613</v>
      </c>
      <c r="H7" s="12" t="n">
        <v>1297</v>
      </c>
      <c r="I7" s="13">
        <f>G7/H7</f>
        <v/>
      </c>
      <c r="J7" s="13">
        <f>C7/B7</f>
        <v/>
      </c>
      <c r="K7" s="13">
        <f>D7/((H7+H6)/2)</f>
        <v/>
      </c>
    </row>
    <row r="8">
      <c r="A8" s="11" t="inlineStr">
        <is>
          <t>2019</t>
        </is>
      </c>
      <c r="B8" s="12" t="n">
        <v>12677</v>
      </c>
      <c r="C8" s="12" t="n">
        <v>1130</v>
      </c>
      <c r="D8" s="12" t="n">
        <v>845</v>
      </c>
      <c r="E8" s="12" t="n">
        <v>5151</v>
      </c>
      <c r="F8" s="12" t="n">
        <v>4765</v>
      </c>
      <c r="G8" s="12" t="n">
        <v>2520</v>
      </c>
      <c r="H8" s="12" t="n">
        <v>2245</v>
      </c>
      <c r="I8" s="13">
        <f>G8/H8</f>
        <v/>
      </c>
      <c r="J8" s="13">
        <f>C8/B8</f>
        <v/>
      </c>
      <c r="K8" s="13">
        <f>D8/((H8+H7)/2)</f>
        <v/>
      </c>
    </row>
    <row r="9">
      <c r="A9" s="11" t="inlineStr">
        <is>
          <t>2020</t>
        </is>
      </c>
      <c r="B9" s="12" t="n">
        <v>13113</v>
      </c>
      <c r="C9" s="12" t="n">
        <v>591</v>
      </c>
      <c r="D9" s="12" t="n">
        <v>384</v>
      </c>
      <c r="E9" s="12" t="n">
        <v>2180</v>
      </c>
      <c r="F9" s="12" t="n">
        <v>4533</v>
      </c>
      <c r="G9" s="12" t="n">
        <v>2004</v>
      </c>
      <c r="H9" s="12" t="n">
        <v>2529</v>
      </c>
      <c r="I9" s="13">
        <f>G9/H9</f>
        <v/>
      </c>
      <c r="J9" s="13">
        <f>C9/B9</f>
        <v/>
      </c>
      <c r="K9" s="13">
        <f>D9/((H9+H8)/2)</f>
        <v/>
      </c>
    </row>
    <row r="10">
      <c r="A10" s="11" t="inlineStr">
        <is>
          <t>2021</t>
        </is>
      </c>
      <c r="B10" s="12" t="n">
        <v>10092</v>
      </c>
      <c r="C10" s="12" t="n">
        <v>238</v>
      </c>
      <c r="D10" s="12" t="n">
        <v>395</v>
      </c>
      <c r="E10" s="12" t="n">
        <v>2229</v>
      </c>
      <c r="F10" s="12" t="n">
        <v>5255</v>
      </c>
      <c r="G10" s="12" t="n">
        <v>2265</v>
      </c>
      <c r="H10" s="12" t="n">
        <v>2989</v>
      </c>
      <c r="I10" s="13">
        <f>G10/H10</f>
        <v/>
      </c>
      <c r="J10" s="13">
        <f>C10/B10</f>
        <v/>
      </c>
      <c r="K10" s="13">
        <f>D10/((H10+H9)/2)</f>
        <v/>
      </c>
    </row>
    <row r="11">
      <c r="A11" s="11" t="inlineStr">
        <is>
          <t>2022</t>
        </is>
      </c>
      <c r="B11" s="12" t="n">
        <v>11086</v>
      </c>
      <c r="C11" s="12" t="n">
        <v>107</v>
      </c>
      <c r="D11" s="12" t="n">
        <v>229</v>
      </c>
      <c r="E11" s="12" t="n">
        <v>1293</v>
      </c>
      <c r="F11" s="12" t="n">
        <v>5388</v>
      </c>
      <c r="G11" s="12" t="n">
        <v>2298</v>
      </c>
      <c r="H11" s="12" t="n">
        <v>3090</v>
      </c>
      <c r="I11" s="13">
        <f>G11/H11</f>
        <v/>
      </c>
      <c r="J11" s="13">
        <f>C11/B11</f>
        <v/>
      </c>
      <c r="K11" s="13">
        <f>D11/((H11+H10)/2)</f>
        <v/>
      </c>
    </row>
    <row r="12">
      <c r="A12" s="11" t="inlineStr">
        <is>
          <t>2023</t>
        </is>
      </c>
      <c r="B12" s="12" t="n">
        <v>9324</v>
      </c>
      <c r="C12" s="12" t="n">
        <v>182</v>
      </c>
      <c r="D12" s="12" t="n">
        <v>279</v>
      </c>
      <c r="E12" s="12" t="n">
        <v>1585</v>
      </c>
      <c r="F12" s="12" t="n">
        <v>5356</v>
      </c>
      <c r="G12" s="12" t="n">
        <v>2120</v>
      </c>
      <c r="H12" s="12" t="n">
        <v>3236</v>
      </c>
      <c r="I12" s="13">
        <f>G12/H12</f>
        <v/>
      </c>
      <c r="J12" s="13">
        <f>C12/B12</f>
        <v/>
      </c>
      <c r="K12" s="13">
        <f>D12/((H12+H11)/2)</f>
        <v/>
      </c>
    </row>
    <row r="13">
      <c r="A13" s="11" t="inlineStr">
        <is>
          <t>2024</t>
        </is>
      </c>
      <c r="B13" s="12" t="n">
        <v>10570</v>
      </c>
      <c r="C13" s="12" t="n">
        <v>443</v>
      </c>
      <c r="D13" s="12" t="n">
        <v>636</v>
      </c>
      <c r="E13" s="12" t="n">
        <v>3661</v>
      </c>
      <c r="F13" s="12" t="n">
        <v>5741</v>
      </c>
      <c r="G13" s="12" t="n">
        <v>2018</v>
      </c>
      <c r="H13" s="12" t="n">
        <v>3722</v>
      </c>
      <c r="I13" s="13">
        <f>G13/H13</f>
        <v/>
      </c>
      <c r="J13" s="13">
        <f>C13/B13</f>
        <v/>
      </c>
      <c r="K13" s="13">
        <f>D13/((H13+H12)/2)</f>
        <v/>
      </c>
    </row>
    <row r="16">
      <c r="A16" s="9" t="inlineStr">
        <is>
          <t>전년대비 성장률 (YoY)</t>
        </is>
      </c>
    </row>
    <row r="17">
      <c r="A17" s="10" t="inlineStr">
        <is>
          <t>연도</t>
        </is>
      </c>
      <c r="B17" s="10" t="inlineStr">
        <is>
          <t>매출 YoY</t>
        </is>
      </c>
      <c r="C17" s="10" t="inlineStr">
        <is>
          <t>영업이익 YoY</t>
        </is>
      </c>
      <c r="D17" s="10" t="inlineStr">
        <is>
          <t>순이익 YoY</t>
        </is>
      </c>
    </row>
    <row r="18">
      <c r="A18" s="11" t="inlineStr">
        <is>
          <t>2016</t>
        </is>
      </c>
      <c r="B18" s="15">
        <f>IF(B4=0,"-",(B5-B4)/B4)</f>
        <v/>
      </c>
      <c r="C18" s="15">
        <f>IF(C4=0,"-",(C5-C4)/C4)</f>
        <v/>
      </c>
      <c r="D18" s="15">
        <f>IF(D4=0,"-",(D5-D4)/D4)</f>
        <v/>
      </c>
    </row>
    <row r="19">
      <c r="A19" s="11" t="inlineStr">
        <is>
          <t>2017</t>
        </is>
      </c>
      <c r="B19" s="15">
        <f>IF(B5=0,"-",(B6-B5)/B5)</f>
        <v/>
      </c>
      <c r="C19" s="15">
        <f>IF(C5=0,"-",(C6-C5)/C5)</f>
        <v/>
      </c>
      <c r="D19" s="15">
        <f>IF(D5=0,"-",(D6-D5)/D5)</f>
        <v/>
      </c>
    </row>
    <row r="20">
      <c r="A20" s="11" t="inlineStr">
        <is>
          <t>2018</t>
        </is>
      </c>
      <c r="B20" s="15">
        <f>IF(B6=0,"-",(B7-B6)/B6)</f>
        <v/>
      </c>
      <c r="C20" s="15">
        <f>IF(C6=0,"-",(C7-C6)/C6)</f>
        <v/>
      </c>
      <c r="D20" s="15">
        <f>IF(D6=0,"-",(D7-D6)/D6)</f>
        <v/>
      </c>
    </row>
    <row r="21">
      <c r="A21" s="11" t="inlineStr">
        <is>
          <t>2019</t>
        </is>
      </c>
      <c r="B21" s="15">
        <f>IF(B7=0,"-",(B8-B7)/B7)</f>
        <v/>
      </c>
      <c r="C21" s="15">
        <f>IF(C7=0,"-",(C8-C7)/C7)</f>
        <v/>
      </c>
      <c r="D21" s="15">
        <f>IF(D7=0,"-",(D8-D7)/D7)</f>
        <v/>
      </c>
    </row>
    <row r="22">
      <c r="A22" s="11" t="inlineStr">
        <is>
          <t>2020</t>
        </is>
      </c>
      <c r="B22" s="15">
        <f>IF(B8=0,"-",(B9-B8)/B8)</f>
        <v/>
      </c>
      <c r="C22" s="15">
        <f>IF(C8=0,"-",(C9-C8)/C8)</f>
        <v/>
      </c>
      <c r="D22" s="15">
        <f>IF(D8=0,"-",(D9-D8)/D8)</f>
        <v/>
      </c>
    </row>
    <row r="23">
      <c r="A23" s="11" t="inlineStr">
        <is>
          <t>2021</t>
        </is>
      </c>
      <c r="B23" s="15">
        <f>IF(B9=0,"-",(B10-B9)/B9)</f>
        <v/>
      </c>
      <c r="C23" s="15">
        <f>IF(C9=0,"-",(C10-C9)/C9)</f>
        <v/>
      </c>
      <c r="D23" s="15">
        <f>IF(D9=0,"-",(D10-D9)/D9)</f>
        <v/>
      </c>
    </row>
    <row r="24">
      <c r="A24" s="11" t="inlineStr">
        <is>
          <t>2022</t>
        </is>
      </c>
      <c r="B24" s="15">
        <f>IF(B10=0,"-",(B11-B10)/B10)</f>
        <v/>
      </c>
      <c r="C24" s="15">
        <f>IF(C10=0,"-",(C11-C10)/C10)</f>
        <v/>
      </c>
      <c r="D24" s="15">
        <f>IF(D10=0,"-",(D11-D10)/D10)</f>
        <v/>
      </c>
    </row>
    <row r="25">
      <c r="A25" s="11" t="inlineStr">
        <is>
          <t>2023</t>
        </is>
      </c>
      <c r="B25" s="15">
        <f>IF(B11=0,"-",(B12-B11)/B11)</f>
        <v/>
      </c>
      <c r="C25" s="15">
        <f>IF(C11=0,"-",(C12-C11)/C11)</f>
        <v/>
      </c>
      <c r="D25" s="15">
        <f>IF(D11=0,"-",(D12-D11)/D11)</f>
        <v/>
      </c>
    </row>
    <row r="26">
      <c r="A26" s="11" t="inlineStr">
        <is>
          <t>2024</t>
        </is>
      </c>
      <c r="B26" s="15">
        <f>IF(B12=0,"-",(B13-B12)/B12)</f>
        <v/>
      </c>
      <c r="C26" s="15">
        <f>IF(C12=0,"-",(C13-C12)/C12)</f>
        <v/>
      </c>
      <c r="D26" s="15">
        <f>IF(D12=0,"-",(D13-D12)/D12)</f>
        <v/>
      </c>
    </row>
  </sheetData>
  <mergeCells count="2">
    <mergeCell ref="A16:K16"/>
    <mergeCell ref="A1:K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9" t="inlineStr">
        <is>
          <t>2025년 분기별 잠정실적 (단위: 백만원)</t>
        </is>
      </c>
    </row>
    <row r="3">
      <c r="A3" s="10" t="inlineStr">
        <is>
          <t>분기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영업이익률</t>
        </is>
      </c>
      <c r="F3" s="10" t="inlineStr">
        <is>
          <t>매출 YoY</t>
        </is>
      </c>
      <c r="G3" s="10" t="inlineStr">
        <is>
          <t>영업이익 YoY</t>
        </is>
      </c>
    </row>
    <row r="4">
      <c r="A4" s="16" t="inlineStr">
        <is>
          <t>24Q1</t>
        </is>
      </c>
      <c r="B4" s="12" t="n">
        <v>287835</v>
      </c>
      <c r="C4" s="12" t="n">
        <v>15205</v>
      </c>
      <c r="D4" s="12" t="n">
        <v>15930</v>
      </c>
      <c r="E4" s="13">
        <f>C4/B4</f>
        <v/>
      </c>
      <c r="F4" s="13" t="n"/>
      <c r="G4" s="13" t="n"/>
    </row>
    <row r="5">
      <c r="A5" s="16" t="inlineStr">
        <is>
          <t>24Q2</t>
        </is>
      </c>
      <c r="B5" s="12" t="n">
        <v>225759</v>
      </c>
      <c r="C5" s="12" t="n">
        <v>7650</v>
      </c>
      <c r="D5" s="12" t="n">
        <v>18423</v>
      </c>
      <c r="E5" s="13">
        <f>C5/B5</f>
        <v/>
      </c>
      <c r="F5" s="13" t="n"/>
      <c r="G5" s="13" t="n"/>
    </row>
    <row r="6">
      <c r="A6" s="16" t="inlineStr">
        <is>
          <t>24Q3</t>
        </is>
      </c>
      <c r="B6" s="12" t="n">
        <v>245071</v>
      </c>
      <c r="C6" s="12" t="n">
        <v>3077</v>
      </c>
      <c r="D6" s="12" t="n">
        <v>2505</v>
      </c>
      <c r="E6" s="13">
        <f>C6/B6</f>
        <v/>
      </c>
      <c r="F6" s="13" t="n"/>
      <c r="G6" s="13" t="n"/>
    </row>
    <row r="7">
      <c r="A7" s="16" t="inlineStr">
        <is>
          <t>24Q4</t>
        </is>
      </c>
      <c r="B7" s="12" t="n">
        <v>298393</v>
      </c>
      <c r="C7" s="12" t="n">
        <v>18451</v>
      </c>
      <c r="D7" s="12" t="n">
        <v>26747</v>
      </c>
      <c r="E7" s="13">
        <f>C7/B7</f>
        <v/>
      </c>
      <c r="F7" s="13" t="n"/>
      <c r="G7" s="13" t="n"/>
    </row>
    <row r="8">
      <c r="A8" s="17" t="inlineStr">
        <is>
          <t>24합계</t>
        </is>
      </c>
      <c r="B8" s="18" t="n">
        <v>1057058</v>
      </c>
      <c r="C8" s="18" t="n">
        <v>44385</v>
      </c>
      <c r="D8" s="18" t="n">
        <v>63605</v>
      </c>
      <c r="E8" s="19">
        <f>C8/B8</f>
        <v/>
      </c>
      <c r="F8" s="19" t="n"/>
      <c r="G8" s="19" t="n"/>
    </row>
    <row r="9">
      <c r="A9" s="20" t="inlineStr">
        <is>
          <t>25Q1</t>
        </is>
      </c>
      <c r="B9" s="21" t="n">
        <v>347917</v>
      </c>
      <c r="C9" s="21" t="n">
        <v>20918</v>
      </c>
      <c r="D9" s="21" t="n">
        <v>20068</v>
      </c>
      <c r="E9" s="22">
        <f>C9/B9</f>
        <v/>
      </c>
      <c r="F9" s="22">
        <f>(B9-B4)/B4</f>
        <v/>
      </c>
      <c r="G9" s="22">
        <f>(C9-C4)/C4</f>
        <v/>
      </c>
    </row>
    <row r="10">
      <c r="A10" s="20" t="inlineStr">
        <is>
          <t>25Q2</t>
        </is>
      </c>
      <c r="B10" s="21" t="n">
        <v>326424</v>
      </c>
      <c r="C10" s="21" t="n">
        <v>16171</v>
      </c>
      <c r="D10" s="21" t="n">
        <v>13050</v>
      </c>
      <c r="E10" s="22">
        <f>C10/B10</f>
        <v/>
      </c>
      <c r="F10" s="22">
        <f>(B10-B5)/B5</f>
        <v/>
      </c>
      <c r="G10" s="22">
        <f>(C10-C5)/C5</f>
        <v/>
      </c>
    </row>
    <row r="11">
      <c r="A11" s="20" t="inlineStr">
        <is>
          <t>25Q3</t>
        </is>
      </c>
      <c r="B11" s="21" t="n">
        <v>303537</v>
      </c>
      <c r="C11" s="21" t="n">
        <v>6708</v>
      </c>
      <c r="D11" s="21" t="n">
        <v>9537</v>
      </c>
      <c r="E11" s="22">
        <f>C11/B11</f>
        <v/>
      </c>
      <c r="F11" s="22">
        <f>(B11-B6)/B6</f>
        <v/>
      </c>
      <c r="G11" s="22">
        <f>(C11-C6)/C6</f>
        <v/>
      </c>
    </row>
    <row r="12">
      <c r="A12" s="17" t="inlineStr">
        <is>
          <t>25누계</t>
        </is>
      </c>
      <c r="B12" s="18" t="n">
        <v>977877</v>
      </c>
      <c r="C12" s="18" t="n">
        <v>43797</v>
      </c>
      <c r="D12" s="18" t="n">
        <v>42656</v>
      </c>
      <c r="E12" s="19">
        <f>C12/B12</f>
        <v/>
      </c>
      <c r="F12" s="19" t="n"/>
      <c r="G12" s="19" t="n"/>
    </row>
    <row r="15">
      <c r="A15" s="9" t="inlineStr">
        <is>
          <t>핵심 포인트</t>
        </is>
      </c>
    </row>
    <row r="16">
      <c r="A16" s="23" t="inlineStr">
        <is>
          <t>• 9M 누적 매출 9,779억 → 2023년 연간(9,325억) 이미 초과. 역대최고 매출 확실시</t>
        </is>
      </c>
    </row>
    <row r="17">
      <c r="A17" s="23" t="inlineStr">
        <is>
          <t>• 3Q OPM 2.2% 급락 → 계절적 제품믹스 변화 or 일회성 비용 확인 필요</t>
        </is>
      </c>
    </row>
    <row r="18">
      <c r="A18" s="23" t="inlineStr">
        <is>
          <t>• 1Q~2Q 갤럭시S 효과로 고마진. 상반기 이익이 연간의 85% 비중</t>
        </is>
      </c>
    </row>
  </sheetData>
  <mergeCells count="5">
    <mergeCell ref="A1:G1"/>
    <mergeCell ref="A17:G17"/>
    <mergeCell ref="A18:G18"/>
    <mergeCell ref="A16:G16"/>
    <mergeCell ref="A15:G15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사업부문별 매출 구조 (연결, 단위: 억원)</t>
        </is>
      </c>
    </row>
    <row r="3">
      <c r="A3" s="10" t="inlineStr">
        <is>
          <t>구분</t>
        </is>
      </c>
      <c r="B3" s="10" t="inlineStr">
        <is>
          <t>2020</t>
        </is>
      </c>
      <c r="C3" s="10" t="inlineStr">
        <is>
          <t>2021</t>
        </is>
      </c>
      <c r="D3" s="10" t="inlineStr">
        <is>
          <t>2022</t>
        </is>
      </c>
      <c r="E3" s="10" t="inlineStr">
        <is>
          <t>2023</t>
        </is>
      </c>
      <c r="F3" s="10" t="inlineStr">
        <is>
          <t>비중(23)</t>
        </is>
      </c>
      <c r="G3" s="10" t="inlineStr">
        <is>
          <t>추세</t>
        </is>
      </c>
    </row>
    <row r="4">
      <c r="A4" s="24" t="inlineStr">
        <is>
          <t>휴대폰용</t>
        </is>
      </c>
      <c r="B4" s="12" t="n">
        <v>11460</v>
      </c>
      <c r="C4" s="12" t="n">
        <v>8373</v>
      </c>
      <c r="D4" s="12" t="n">
        <v>9246</v>
      </c>
      <c r="E4" s="12" t="n">
        <v>6583</v>
      </c>
      <c r="F4" s="13">
        <f>E4/E7</f>
        <v/>
      </c>
      <c r="G4" s="25" t="inlineStr">
        <is>
          <t>↓</t>
        </is>
      </c>
    </row>
    <row r="5">
      <c r="A5" s="24" t="inlineStr">
        <is>
          <t>자동차용</t>
        </is>
      </c>
      <c r="B5" s="12" t="n">
        <v>1534</v>
      </c>
      <c r="C5" s="12" t="n">
        <v>1602</v>
      </c>
      <c r="D5" s="12" t="n">
        <v>1701</v>
      </c>
      <c r="E5" s="12" t="n">
        <v>2527</v>
      </c>
      <c r="F5" s="13">
        <f>E5/E7</f>
        <v/>
      </c>
      <c r="G5" s="26" t="inlineStr">
        <is>
          <t>↑</t>
        </is>
      </c>
    </row>
    <row r="6">
      <c r="A6" s="24" t="inlineStr">
        <is>
          <t>기타</t>
        </is>
      </c>
      <c r="B6" s="12" t="n">
        <v>119</v>
      </c>
      <c r="C6" s="12" t="n">
        <v>118</v>
      </c>
      <c r="D6" s="12" t="n">
        <v>127</v>
      </c>
      <c r="E6" s="12" t="n">
        <v>215</v>
      </c>
      <c r="F6" s="13">
        <f>E6/E7</f>
        <v/>
      </c>
      <c r="G6" s="26" t="inlineStr">
        <is>
          <t>↑</t>
        </is>
      </c>
    </row>
    <row r="7">
      <c r="A7" s="27" t="inlineStr">
        <is>
          <t>합계</t>
        </is>
      </c>
      <c r="B7" s="18" t="n">
        <v>13113</v>
      </c>
      <c r="C7" s="18" t="n">
        <v>10093</v>
      </c>
      <c r="D7" s="18" t="n">
        <v>11086</v>
      </c>
      <c r="E7" s="18" t="n">
        <v>9325</v>
      </c>
      <c r="F7" s="19" t="n"/>
      <c r="G7" s="28" t="n"/>
    </row>
    <row r="10">
      <c r="A10" s="9" t="inlineStr">
        <is>
          <t>종속회사 현황 (2024)</t>
        </is>
      </c>
    </row>
    <row r="11">
      <c r="A11" s="10" t="inlineStr">
        <is>
          <t>자회사명</t>
        </is>
      </c>
      <c r="B11" s="10" t="inlineStr">
        <is>
          <t>지분율</t>
        </is>
      </c>
      <c r="C11" s="10" t="inlineStr">
        <is>
          <t>역할</t>
        </is>
      </c>
      <c r="D11" s="10" t="inlineStr">
        <is>
          <t>장부가(억)</t>
        </is>
      </c>
      <c r="E11" s="10" t="inlineStr">
        <is>
          <t>순이익(억)</t>
        </is>
      </c>
      <c r="F11" s="10" t="inlineStr">
        <is>
          <t>총자산(억)</t>
        </is>
      </c>
    </row>
    <row r="12">
      <c r="A12" s="29" t="inlineStr">
        <is>
          <t>엠씨넥스VINA(베트남)</t>
        </is>
      </c>
      <c r="B12" s="16" t="inlineStr">
        <is>
          <t>100%</t>
        </is>
      </c>
      <c r="C12" s="24" t="inlineStr">
        <is>
          <t>핵심 생산기지</t>
        </is>
      </c>
      <c r="D12" s="30" t="n">
        <v>1216</v>
      </c>
      <c r="E12" s="31" t="n">
        <v>309</v>
      </c>
      <c r="F12" s="30" t="n">
        <v>3355</v>
      </c>
    </row>
    <row r="13">
      <c r="A13" s="29" t="inlineStr">
        <is>
          <t>엠씨넥스상해(중국)</t>
        </is>
      </c>
      <c r="B13" s="16" t="inlineStr">
        <is>
          <t>100%</t>
        </is>
      </c>
      <c r="C13" s="24" t="inlineStr">
        <is>
          <t>수출입/CS</t>
        </is>
      </c>
      <c r="D13" s="30" t="n">
        <v>1</v>
      </c>
      <c r="E13" s="32" t="n">
        <v>-1</v>
      </c>
      <c r="F13" s="30" t="n">
        <v>14</v>
      </c>
    </row>
    <row r="14">
      <c r="A14" s="29" t="inlineStr">
        <is>
          <t>엠씨넥스에프앤비</t>
        </is>
      </c>
      <c r="B14" s="16" t="inlineStr">
        <is>
          <t>100%</t>
        </is>
      </c>
      <c r="C14" s="24" t="inlineStr">
        <is>
          <t>구내식당</t>
        </is>
      </c>
      <c r="D14" s="30" t="n">
        <v>10</v>
      </c>
      <c r="E14" s="32" t="n">
        <v>-0.4</v>
      </c>
      <c r="F14" s="30" t="n">
        <v>10</v>
      </c>
    </row>
  </sheetData>
  <mergeCells count="2">
    <mergeCell ref="A10:H10"/>
    <mergeCell ref="A1:H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배당 및 주주환원 정책</t>
        </is>
      </c>
    </row>
    <row r="3">
      <c r="A3" s="10" t="inlineStr">
        <is>
          <t>연도</t>
        </is>
      </c>
      <c r="B3" s="10" t="inlineStr">
        <is>
          <t>주당배당(원)</t>
        </is>
      </c>
      <c r="C3" s="10" t="inlineStr">
        <is>
          <t>EPS(원)</t>
        </is>
      </c>
      <c r="D3" s="10" t="inlineStr">
        <is>
          <t>배당성향</t>
        </is>
      </c>
      <c r="E3" s="10" t="inlineStr">
        <is>
          <t>배당수익률</t>
        </is>
      </c>
      <c r="F3" s="10" t="inlineStr">
        <is>
          <t>비고</t>
        </is>
      </c>
    </row>
    <row r="4">
      <c r="A4" s="33" t="inlineStr">
        <is>
          <t>2015</t>
        </is>
      </c>
      <c r="B4" s="31" t="n">
        <v>330</v>
      </c>
      <c r="C4" s="30" t="n">
        <v>1833</v>
      </c>
      <c r="D4" s="16" t="inlineStr">
        <is>
          <t>17.9%</t>
        </is>
      </c>
      <c r="E4" s="16" t="inlineStr">
        <is>
          <t>1.17%</t>
        </is>
      </c>
      <c r="F4" s="34" t="inlineStr"/>
    </row>
    <row r="5">
      <c r="A5" s="33" t="inlineStr">
        <is>
          <t>2016</t>
        </is>
      </c>
      <c r="B5" s="32" t="inlineStr">
        <is>
          <t>-</t>
        </is>
      </c>
      <c r="C5" s="30" t="n">
        <v>-2824</v>
      </c>
      <c r="D5" s="16" t="inlineStr">
        <is>
          <t>-</t>
        </is>
      </c>
      <c r="E5" s="16" t="inlineStr">
        <is>
          <t>-</t>
        </is>
      </c>
      <c r="F5" s="34" t="inlineStr">
        <is>
          <t>적자</t>
        </is>
      </c>
    </row>
    <row r="6">
      <c r="A6" s="33" t="inlineStr">
        <is>
          <t>2017</t>
        </is>
      </c>
      <c r="B6" s="31" t="n">
        <v>260</v>
      </c>
      <c r="C6" s="30" t="n">
        <v>-100</v>
      </c>
      <c r="D6" s="16" t="inlineStr">
        <is>
          <t>-</t>
        </is>
      </c>
      <c r="E6" s="16" t="inlineStr">
        <is>
          <t>1.27%</t>
        </is>
      </c>
      <c r="F6" s="34" t="inlineStr"/>
    </row>
    <row r="7">
      <c r="A7" s="33" t="inlineStr">
        <is>
          <t>2018</t>
        </is>
      </c>
      <c r="B7" s="31" t="n">
        <v>300</v>
      </c>
      <c r="C7" s="30" t="n">
        <v>2161</v>
      </c>
      <c r="D7" s="16" t="inlineStr">
        <is>
          <t>17.1%</t>
        </is>
      </c>
      <c r="E7" s="16" t="inlineStr">
        <is>
          <t>2.40%</t>
        </is>
      </c>
      <c r="F7" s="34" t="inlineStr"/>
    </row>
    <row r="8">
      <c r="A8" s="33" t="inlineStr">
        <is>
          <t>2019</t>
        </is>
      </c>
      <c r="B8" s="31" t="n">
        <v>500</v>
      </c>
      <c r="C8" s="30" t="n">
        <v>5151</v>
      </c>
      <c r="D8" s="16" t="inlineStr">
        <is>
          <t>10.4%</t>
        </is>
      </c>
      <c r="E8" s="16" t="inlineStr">
        <is>
          <t>1.70%</t>
        </is>
      </c>
      <c r="F8" s="34" t="inlineStr">
        <is>
          <t>최대실적</t>
        </is>
      </c>
    </row>
    <row r="9">
      <c r="A9" s="33" t="inlineStr">
        <is>
          <t>2020</t>
        </is>
      </c>
      <c r="B9" s="31" t="n">
        <v>500</v>
      </c>
      <c r="C9" s="30" t="n">
        <v>2180</v>
      </c>
      <c r="D9" s="16" t="inlineStr">
        <is>
          <t>23.9%</t>
        </is>
      </c>
      <c r="E9" s="16" t="inlineStr">
        <is>
          <t>1.30%</t>
        </is>
      </c>
      <c r="F9" s="34" t="inlineStr"/>
    </row>
    <row r="10">
      <c r="A10" s="33" t="inlineStr">
        <is>
          <t>2021</t>
        </is>
      </c>
      <c r="B10" s="31" t="n">
        <v>500</v>
      </c>
      <c r="C10" s="30" t="n">
        <v>2229</v>
      </c>
      <c r="D10" s="16" t="inlineStr">
        <is>
          <t>22.6%</t>
        </is>
      </c>
      <c r="E10" s="16" t="inlineStr">
        <is>
          <t>0.90%</t>
        </is>
      </c>
      <c r="F10" s="34" t="inlineStr"/>
    </row>
    <row r="11">
      <c r="A11" s="33" t="inlineStr">
        <is>
          <t>2022</t>
        </is>
      </c>
      <c r="B11" s="31" t="n">
        <v>500</v>
      </c>
      <c r="C11" s="30" t="n">
        <v>1293</v>
      </c>
      <c r="D11" s="16" t="inlineStr">
        <is>
          <t>38.5%</t>
        </is>
      </c>
      <c r="E11" s="16" t="inlineStr">
        <is>
          <t>1.80%</t>
        </is>
      </c>
      <c r="F11" s="34" t="inlineStr"/>
    </row>
    <row r="12">
      <c r="A12" s="33" t="inlineStr">
        <is>
          <t>2023</t>
        </is>
      </c>
      <c r="B12" s="31" t="n">
        <v>600</v>
      </c>
      <c r="C12" s="30" t="n">
        <v>1585</v>
      </c>
      <c r="D12" s="16" t="inlineStr">
        <is>
          <t>37.9%</t>
        </is>
      </c>
      <c r="E12" s="16" t="inlineStr">
        <is>
          <t>2.00%</t>
        </is>
      </c>
      <c r="F12" s="34" t="inlineStr"/>
    </row>
    <row r="13">
      <c r="A13" s="33" t="inlineStr">
        <is>
          <t>2024</t>
        </is>
      </c>
      <c r="B13" s="31" t="n">
        <v>800</v>
      </c>
      <c r="C13" s="30" t="n">
        <v>3661</v>
      </c>
      <c r="D13" s="16" t="inlineStr">
        <is>
          <t>21.2%</t>
        </is>
      </c>
      <c r="E13" s="16" t="inlineStr">
        <is>
          <t>2.85%</t>
        </is>
      </c>
      <c r="F13" s="34" t="inlineStr">
        <is>
          <t>대폭 인상</t>
        </is>
      </c>
    </row>
    <row r="14">
      <c r="A14" s="33" t="inlineStr">
        <is>
          <t>2025E</t>
        </is>
      </c>
      <c r="B14" s="31" t="n">
        <v>1000</v>
      </c>
      <c r="C14" s="30" t="inlineStr">
        <is>
          <t>-</t>
        </is>
      </c>
      <c r="D14" s="16" t="inlineStr">
        <is>
          <t>-</t>
        </is>
      </c>
      <c r="E14" s="16" t="inlineStr">
        <is>
          <t>3.56%</t>
        </is>
      </c>
      <c r="F14" s="34" t="inlineStr"/>
    </row>
    <row r="17">
      <c r="A17" s="9" t="inlineStr">
        <is>
          <t>주주환원 이벤트</t>
        </is>
      </c>
    </row>
    <row r="18">
      <c r="A18" s="35" t="inlineStr">
        <is>
          <t>2024.07</t>
        </is>
      </c>
      <c r="B18" s="36" t="inlineStr">
        <is>
          <t>자기주식 취득 결정</t>
        </is>
      </c>
    </row>
    <row r="19">
      <c r="A19" s="35" t="inlineStr">
        <is>
          <t>2024.11</t>
        </is>
      </c>
      <c r="B19" s="36" t="inlineStr">
        <is>
          <t>자기주식 추가 취득</t>
        </is>
      </c>
    </row>
    <row r="20">
      <c r="A20" s="35" t="inlineStr">
        <is>
          <t>2024.12</t>
        </is>
      </c>
      <c r="B20" s="36" t="inlineStr">
        <is>
          <t>결산배당 주당 800원</t>
        </is>
      </c>
    </row>
    <row r="21">
      <c r="A21" s="35" t="inlineStr">
        <is>
          <t>2025.01</t>
        </is>
      </c>
      <c r="B21" s="36" t="inlineStr">
        <is>
          <t>자기주식 취득</t>
        </is>
      </c>
    </row>
    <row r="22">
      <c r="A22" s="35" t="inlineStr">
        <is>
          <t>2025.09</t>
        </is>
      </c>
      <c r="B22" s="36" t="inlineStr">
        <is>
          <t>자기주식 취득</t>
        </is>
      </c>
    </row>
    <row r="23">
      <c r="A23" s="35" t="inlineStr">
        <is>
          <t>2025.11</t>
        </is>
      </c>
      <c r="B23" s="36" t="inlineStr">
        <is>
          <t>주식 583,482주 소각 (~170억)</t>
        </is>
      </c>
    </row>
    <row r="24">
      <c r="A24" s="35" t="inlineStr">
        <is>
          <t>2025.12</t>
        </is>
      </c>
      <c r="B24" s="36" t="inlineStr">
        <is>
          <t>결산배당 주당 1,000원</t>
        </is>
      </c>
    </row>
    <row r="27">
      <c r="A27" s="9" t="inlineStr">
        <is>
          <t>주식 구조 (2024.12.31) — 현재가 28,100원 기준</t>
        </is>
      </c>
    </row>
    <row r="28">
      <c r="A28" s="37" t="inlineStr">
        <is>
          <t>발행주식수(보통주)</t>
        </is>
      </c>
      <c r="B28" s="38" t="inlineStr">
        <is>
          <t>17,977,732주</t>
        </is>
      </c>
    </row>
    <row r="29">
      <c r="A29" s="37" t="inlineStr">
        <is>
          <t>자기주식</t>
        </is>
      </c>
      <c r="B29" s="38" t="inlineStr">
        <is>
          <t>1,110,000주</t>
        </is>
      </c>
    </row>
    <row r="30">
      <c r="A30" s="37" t="inlineStr">
        <is>
          <t>유통주식수</t>
        </is>
      </c>
      <c r="B30" s="38" t="inlineStr">
        <is>
          <t>16,867,732주</t>
        </is>
      </c>
    </row>
    <row r="31">
      <c r="A31" s="37" t="inlineStr">
        <is>
          <t>시가총액</t>
        </is>
      </c>
      <c r="B31" s="38" t="inlineStr">
        <is>
          <t>5,052억</t>
        </is>
      </c>
    </row>
    <row r="32">
      <c r="A32" s="37" t="inlineStr">
        <is>
          <t>유통시총</t>
        </is>
      </c>
      <c r="B32" s="38" t="inlineStr">
        <is>
          <t>4,740억</t>
        </is>
      </c>
    </row>
    <row r="33">
      <c r="A33" s="37" t="inlineStr">
        <is>
          <t>최대주주(민동욱)</t>
        </is>
      </c>
      <c r="B33" s="38" t="inlineStr">
        <is>
          <t>4,661,000주 (25.93%)</t>
        </is>
      </c>
    </row>
    <row r="34">
      <c r="A34" s="37" t="inlineStr">
        <is>
          <t>소액주주</t>
        </is>
      </c>
      <c r="B34" s="38" t="inlineStr">
        <is>
          <t>66.33% (58,267명)</t>
        </is>
      </c>
    </row>
  </sheetData>
  <mergeCells count="17">
    <mergeCell ref="B21:F21"/>
    <mergeCell ref="B30:C30"/>
    <mergeCell ref="B29:C29"/>
    <mergeCell ref="B24:F24"/>
    <mergeCell ref="B33:C33"/>
    <mergeCell ref="B20:F20"/>
    <mergeCell ref="A1:F1"/>
    <mergeCell ref="B34:C34"/>
    <mergeCell ref="B19:F19"/>
    <mergeCell ref="A27:F27"/>
    <mergeCell ref="B28:C28"/>
    <mergeCell ref="A17:F17"/>
    <mergeCell ref="B23:F23"/>
    <mergeCell ref="B22:F22"/>
    <mergeCell ref="B31:C31"/>
    <mergeCell ref="B32:C32"/>
    <mergeCell ref="B18:F18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D3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4" customWidth="1" min="4" max="4"/>
  </cols>
  <sheetData>
    <row r="1">
      <c r="A1" s="9" t="inlineStr">
        <is>
          <t>연구개발 및 특허 현황</t>
        </is>
      </c>
    </row>
    <row r="3">
      <c r="A3" s="9" t="inlineStr">
        <is>
          <t>연구개발비 추이</t>
        </is>
      </c>
    </row>
    <row r="4">
      <c r="A4" s="10" t="inlineStr">
        <is>
          <t>연도</t>
        </is>
      </c>
      <c r="B4" s="10" t="inlineStr">
        <is>
          <t>R&amp;D비용(억)</t>
        </is>
      </c>
      <c r="C4" s="10" t="inlineStr">
        <is>
          <t>매출대비</t>
        </is>
      </c>
      <c r="D4" s="10" t="inlineStr">
        <is>
          <t>비고</t>
        </is>
      </c>
    </row>
    <row r="5">
      <c r="A5" s="33" t="inlineStr">
        <is>
          <t>2022</t>
        </is>
      </c>
      <c r="B5" s="30" t="n">
        <v>397</v>
      </c>
      <c r="C5" s="16" t="inlineStr">
        <is>
          <t>3.58%</t>
        </is>
      </c>
      <c r="D5" s="34" t="inlineStr"/>
    </row>
    <row r="6">
      <c r="A6" s="33" t="inlineStr">
        <is>
          <t>2023</t>
        </is>
      </c>
      <c r="B6" s="30" t="n">
        <v>356</v>
      </c>
      <c r="C6" s="16" t="inlineStr">
        <is>
          <t>3.82%</t>
        </is>
      </c>
      <c r="D6" s="34" t="inlineStr"/>
    </row>
    <row r="7">
      <c r="A7" s="33" t="inlineStr">
        <is>
          <t>2024</t>
        </is>
      </c>
      <c r="B7" s="30" t="n">
        <v>327</v>
      </c>
      <c r="C7" s="16" t="inlineStr">
        <is>
          <t>3.10%</t>
        </is>
      </c>
      <c r="D7" s="34" t="inlineStr"/>
    </row>
    <row r="9">
      <c r="A9" s="39" t="inlineStr">
        <is>
          <t>연구인력 284명 (57.7%) | 임원15+수석107+선임106+연구원56</t>
        </is>
      </c>
    </row>
    <row r="11">
      <c r="A11" s="9" t="inlineStr">
        <is>
          <t>특허 포트폴리오 (24건)</t>
        </is>
      </c>
    </row>
    <row r="12">
      <c r="A12" s="10" t="inlineStr">
        <is>
          <t>취득일</t>
        </is>
      </c>
      <c r="B12" s="10" t="inlineStr">
        <is>
          <t>특허명/내용</t>
        </is>
      </c>
      <c r="C12" s="10" t="inlineStr">
        <is>
          <t>분류</t>
        </is>
      </c>
      <c r="D12" s="10" t="inlineStr">
        <is>
          <t>활용</t>
        </is>
      </c>
    </row>
    <row r="13">
      <c r="A13" s="16" t="inlineStr">
        <is>
          <t>20120809</t>
        </is>
      </c>
      <c r="B13" s="24" t="inlineStr">
        <is>
          <t>- 본 발명은 카메라모듈내의 주요 부품인 자동초점 조절장치(Actuator)에 관한 기술임. - 액추에이터(</t>
        </is>
      </c>
      <c r="C13" s="33" t="inlineStr">
        <is>
          <t>액츄에이터</t>
        </is>
      </c>
      <c r="D13" s="34" t="inlineStr"/>
    </row>
    <row r="14">
      <c r="A14" s="16" t="inlineStr">
        <is>
          <t>20120829</t>
        </is>
      </c>
      <c r="B14" s="24" t="inlineStr">
        <is>
          <t xml:space="preserve">- 본 발명은 카메라모듈내의 주요 부품인 자동초점 조절장치(Actuator)에 관한 기술임. - 본 발명은 </t>
        </is>
      </c>
      <c r="C14" s="33" t="inlineStr">
        <is>
          <t>액츄에이터</t>
        </is>
      </c>
      <c r="D14" s="34" t="inlineStr"/>
    </row>
    <row r="15">
      <c r="A15" s="16" t="inlineStr">
        <is>
          <t>20121009</t>
        </is>
      </c>
      <c r="B15" s="24" t="inlineStr">
        <is>
          <t xml:space="preserve">본 발명은 카메라에 의해 전방 영역 이미지 촬영시, 실시간 예측되는 차량의 현재 위치 및 전방의 특정 거리 </t>
        </is>
      </c>
      <c r="C15" s="33" t="inlineStr">
        <is>
          <t>전장</t>
        </is>
      </c>
      <c r="D15" s="34" t="inlineStr"/>
    </row>
    <row r="16">
      <c r="A16" s="16" t="inlineStr">
        <is>
          <t>20121126</t>
        </is>
      </c>
      <c r="B16" s="24" t="inlineStr">
        <is>
          <t>- 본 발명은 카메라모듈의 주요 부품인 자동초점 조절장치(Actuator)에 관한 기술로써 헤드, 마그네트,</t>
        </is>
      </c>
      <c r="C16" s="33" t="inlineStr">
        <is>
          <t>액츄에이터</t>
        </is>
      </c>
      <c r="D16" s="34" t="inlineStr"/>
    </row>
    <row r="17">
      <c r="A17" s="16" t="inlineStr">
        <is>
          <t>20130107</t>
        </is>
      </c>
      <c r="B17" s="24" t="inlineStr">
        <is>
          <t>- 본 발명은 카메라모듈 내의 주요 부품인 자동초점조절 장치(Actuator)에 관한 기술 임. - Actu</t>
        </is>
      </c>
      <c r="C17" s="33" t="inlineStr">
        <is>
          <t>액츄에이터</t>
        </is>
      </c>
      <c r="D17" s="34" t="inlineStr"/>
    </row>
    <row r="18">
      <c r="A18" s="16" t="inlineStr">
        <is>
          <t>20130709</t>
        </is>
      </c>
      <c r="B18" s="24" t="inlineStr">
        <is>
          <t>- 본 발명은 차량 주차 안내 기술에 관한 발명으로, 차량 주차시 주차 영역간 구획선 일측에만 주차 안내바를</t>
        </is>
      </c>
      <c r="C18" s="33" t="inlineStr">
        <is>
          <t>전장</t>
        </is>
      </c>
      <c r="D18" s="34" t="inlineStr"/>
    </row>
    <row r="19">
      <c r="A19" s="16" t="inlineStr">
        <is>
          <t>20131024</t>
        </is>
      </c>
      <c r="B19" s="24" t="inlineStr">
        <is>
          <t>- 본 발명은 카메라모듈 제조 시 적용되는 기술로써, 카메라모듈을 소프트웨어적인 방식으로 광축 정렬하는 기술</t>
        </is>
      </c>
      <c r="C19" s="33" t="inlineStr">
        <is>
          <t>광학/제조</t>
        </is>
      </c>
      <c r="D19" s="34" t="inlineStr"/>
    </row>
    <row r="20">
      <c r="A20" s="16" t="inlineStr">
        <is>
          <t>20140108</t>
        </is>
      </c>
      <c r="B20" s="24" t="inlineStr">
        <is>
          <t xml:space="preserve">- 본 발명은 차량 주차 안내 기술에 관한 발명으로 차량을 경사진 주차영역에서 주차시 경사도를 고려한 주차 </t>
        </is>
      </c>
      <c r="C20" s="33" t="inlineStr">
        <is>
          <t>전장</t>
        </is>
      </c>
      <c r="D20" s="34" t="inlineStr"/>
    </row>
    <row r="21">
      <c r="A21" s="16" t="inlineStr">
        <is>
          <t>20140515</t>
        </is>
      </c>
      <c r="B21" s="24" t="inlineStr">
        <is>
          <t>- 본 발명은 터치 패널의 포인팅 인식장치에 관한 것으로 광의 전반사와 이미지 센서를 이용하여 접촉위치를 검</t>
        </is>
      </c>
      <c r="C21" s="33" t="inlineStr">
        <is>
          <t>기타</t>
        </is>
      </c>
      <c r="D21" s="34" t="inlineStr"/>
    </row>
    <row r="22">
      <c r="A22" s="16" t="inlineStr">
        <is>
          <t>20140521</t>
        </is>
      </c>
      <c r="B22" s="24" t="inlineStr">
        <is>
          <t>- 본 발명은 Actuator에 관한 기술로 카메라모듈 조립시 Actuator와 렌즈부를 일체형으로 고안하여</t>
        </is>
      </c>
      <c r="C22" s="33" t="inlineStr">
        <is>
          <t>액츄에이터</t>
        </is>
      </c>
      <c r="D22" s="34" t="inlineStr"/>
    </row>
    <row r="23">
      <c r="A23" s="16" t="inlineStr">
        <is>
          <t>20141008</t>
        </is>
      </c>
      <c r="B23" s="24" t="inlineStr">
        <is>
          <t>- 본 발명들(2건)은 차량 주차 안내 기술에 관한 발명으로, 표시 되는 영상 내에 차량이 목표로 하는 주차</t>
        </is>
      </c>
      <c r="C23" s="33" t="inlineStr">
        <is>
          <t>전장</t>
        </is>
      </c>
      <c r="D23" s="34" t="inlineStr"/>
    </row>
    <row r="24">
      <c r="A24" s="16" t="inlineStr">
        <is>
          <t>20141211</t>
        </is>
      </c>
      <c r="B24" s="24" t="inlineStr">
        <is>
          <t>- 본 발명은 스마트 보안장치에 관한 발명으로, 음장 변화를 통해 악의적 사용자의 침입 발생 여부를 감지하여</t>
        </is>
      </c>
      <c r="C24" s="33" t="inlineStr">
        <is>
          <t>기타</t>
        </is>
      </c>
      <c r="D24" s="34" t="inlineStr"/>
    </row>
    <row r="25">
      <c r="A25" s="16" t="inlineStr">
        <is>
          <t>20150319</t>
        </is>
      </c>
      <c r="B25" s="24" t="inlineStr">
        <is>
          <t xml:space="preserve">- 본 발명은 카메라 모듈의 광축 정렬 기술과 이에 대한 응용 기술에 관한 발명으로, 광축 정렬 및 조정시 </t>
        </is>
      </c>
      <c r="C25" s="33" t="inlineStr">
        <is>
          <t>광학/제조</t>
        </is>
      </c>
      <c r="D25" s="34" t="inlineStr"/>
    </row>
    <row r="26">
      <c r="A26" s="16" t="inlineStr">
        <is>
          <t>20150601</t>
        </is>
      </c>
      <c r="B26" s="24" t="inlineStr">
        <is>
          <t>- 본 발명은 와이어 홀더를 이용한 전선의 방수구조에 관한 발명 임. - 외부에 장착된 차량용 카메라를 통해</t>
        </is>
      </c>
      <c r="C26" s="33" t="inlineStr">
        <is>
          <t>전장</t>
        </is>
      </c>
      <c r="D26" s="34" t="inlineStr"/>
    </row>
    <row r="27">
      <c r="A27" s="16" t="inlineStr">
        <is>
          <t>20150820</t>
        </is>
      </c>
      <c r="B27" s="24" t="inlineStr">
        <is>
          <t>- 본 발명은 카메라에 관한 발명으로 물체의 촬영시 변위와 속도 계산 등과 같은 복잡한 연산 과정이 필요 없</t>
        </is>
      </c>
      <c r="C27" s="33" t="inlineStr">
        <is>
          <t>기타</t>
        </is>
      </c>
      <c r="D27" s="34" t="inlineStr"/>
    </row>
    <row r="28">
      <c r="A28" s="16" t="inlineStr">
        <is>
          <t>20160502</t>
        </is>
      </c>
      <c r="B28" s="24" t="inlineStr">
        <is>
          <t>- 본 발명은 카메라 모듈 제조 시 인쇄회로기판과 이미지 센서를 이용한 제조 방법으로 광학식, 전자식 손떨림</t>
        </is>
      </c>
      <c r="C28" s="33" t="inlineStr">
        <is>
          <t>기타</t>
        </is>
      </c>
      <c r="D28" s="34" t="inlineStr"/>
    </row>
    <row r="29">
      <c r="A29" s="16" t="inlineStr">
        <is>
          <t>20180130</t>
        </is>
      </c>
      <c r="B29" s="24" t="inlineStr">
        <is>
          <t>- 본발명은 다수의 카메라 영상 합성시 발생하는 영상간 경계라인에 위화감(조화되지 않음)이 드는 현상을 개선</t>
        </is>
      </c>
      <c r="C29" s="33" t="inlineStr">
        <is>
          <t>전장</t>
        </is>
      </c>
      <c r="D29" s="34" t="inlineStr"/>
    </row>
    <row r="30">
      <c r="A30" s="16" t="inlineStr">
        <is>
          <t>20181002</t>
        </is>
      </c>
      <c r="B30" s="24" t="inlineStr">
        <is>
          <t xml:space="preserve">- 본 발명은 이동통신 단말 장치에서의 사용자 인증을 위해 홍채 기술을 적용하되, 서비스 종류에 따라 홍채 </t>
        </is>
      </c>
      <c r="C30" s="33" t="inlineStr">
        <is>
          <t>보안</t>
        </is>
      </c>
      <c r="D30" s="34" t="inlineStr"/>
    </row>
    <row r="31">
      <c r="A31" s="16" t="inlineStr">
        <is>
          <t>20181126</t>
        </is>
      </c>
      <c r="B31" s="24" t="inlineStr">
        <is>
          <t>- 본 발명은 타이어 압력모니터링 정보(TPMS)를 이용하여 차량용 AVM 카메라의 위치정보를 실시간으로 보</t>
        </is>
      </c>
      <c r="C31" s="33" t="inlineStr">
        <is>
          <t>전장</t>
        </is>
      </c>
      <c r="D31" s="34" t="inlineStr"/>
    </row>
    <row r="32">
      <c r="A32" s="16" t="inlineStr">
        <is>
          <t>20190419</t>
        </is>
      </c>
      <c r="B32" s="24" t="inlineStr">
        <is>
          <t>- 본 발명은 카메라모듈 조립시 렌즈배럴 정렬부와 커버부재 정렬부가 상호 작용하여 고체렌즈와 액체렌즈를 정밀</t>
        </is>
      </c>
      <c r="C32" s="33" t="inlineStr">
        <is>
          <t>액츄에이터</t>
        </is>
      </c>
      <c r="D32" s="34" t="inlineStr"/>
    </row>
    <row r="33">
      <c r="A33" s="16" t="inlineStr">
        <is>
          <t>20191107</t>
        </is>
      </c>
      <c r="B33" s="24" t="inlineStr">
        <is>
          <t>본 발명은 멀티 카메라 모듈에 관련한 것으로, 멀티 카메라 모듈의 PCB를 하나로 구현하지 않고 다수의 PC</t>
        </is>
      </c>
      <c r="C33" s="33" t="inlineStr">
        <is>
          <t>기타</t>
        </is>
      </c>
      <c r="D33" s="34" t="inlineStr"/>
    </row>
    <row r="34">
      <c r="A34" s="16" t="inlineStr">
        <is>
          <t>20201016</t>
        </is>
      </c>
      <c r="B34" s="24" t="inlineStr">
        <is>
          <t>본 발명은 흔들림 보정시 영상 왜곡을 방지할 수 있는 카메라에 관한 것입니다. 카메라 피사체의 이미지를 획득</t>
        </is>
      </c>
      <c r="C34" s="33" t="inlineStr">
        <is>
          <t>기타</t>
        </is>
      </c>
      <c r="D34" s="34" t="inlineStr"/>
    </row>
    <row r="35">
      <c r="A35" s="16" t="inlineStr">
        <is>
          <t>20201016</t>
        </is>
      </c>
      <c r="B35" s="24" t="inlineStr">
        <is>
          <t>본 발명은 반도체 봉지재에 간편하게 부착하여 반도체 봉지재 제조수율을 높잎 수 있는 전사필름 반제품 및 반도</t>
        </is>
      </c>
      <c r="C35" s="33" t="inlineStr">
        <is>
          <t>기타</t>
        </is>
      </c>
      <c r="D35" s="34" t="inlineStr"/>
    </row>
    <row r="36">
      <c r="A36" s="16" t="inlineStr">
        <is>
          <t>20220511</t>
        </is>
      </c>
      <c r="B36" s="24" t="inlineStr">
        <is>
          <t>프리즘 방식 카메라 장치 및 그 광축 정렬 방법</t>
        </is>
      </c>
      <c r="C36" s="33" t="inlineStr">
        <is>
          <t>광학/제조</t>
        </is>
      </c>
      <c r="D36" s="34" t="inlineStr">
        <is>
          <t xml:space="preserve">프리즘을 적용하여 높이를 낮추고 초점거리 확보를 통한 </t>
        </is>
      </c>
    </row>
  </sheetData>
  <mergeCells count="4">
    <mergeCell ref="A1:D1"/>
    <mergeCell ref="A9:D9"/>
    <mergeCell ref="A3:D3"/>
    <mergeCell ref="A11:D1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40" t="inlineStr">
        <is>
          <t>엠씨넥스 밸류에이션 종합 (현재가 28,100원)</t>
        </is>
      </c>
    </row>
    <row r="2"/>
    <row r="4">
      <c r="A4" s="41" t="inlineStr">
        <is>
          <t>현재 주가</t>
        </is>
      </c>
      <c r="B4" s="42" t="inlineStr">
        <is>
          <t>28,100원</t>
        </is>
      </c>
      <c r="C4" s="41" t="inlineStr">
        <is>
          <t>발행주식수</t>
        </is>
      </c>
      <c r="D4" s="42" t="inlineStr">
        <is>
          <t>17,977,732주</t>
        </is>
      </c>
      <c r="E4" s="41" t="inlineStr">
        <is>
          <t>시가총액</t>
        </is>
      </c>
      <c r="F4" s="42" t="inlineStr">
        <is>
          <t>5,052억</t>
        </is>
      </c>
    </row>
    <row r="5">
      <c r="A5" s="41" t="inlineStr">
        <is>
          <t>2024 EPS</t>
        </is>
      </c>
      <c r="B5" s="42" t="inlineStr">
        <is>
          <t>3,661원</t>
        </is>
      </c>
      <c r="C5" s="41" t="inlineStr">
        <is>
          <t>2024 BPS</t>
        </is>
      </c>
      <c r="D5" s="42" t="inlineStr">
        <is>
          <t>20,704원</t>
        </is>
      </c>
      <c r="E5" s="41" t="inlineStr">
        <is>
          <t>2024 DPS</t>
        </is>
      </c>
      <c r="F5" s="42" t="inlineStr">
        <is>
          <t>800원</t>
        </is>
      </c>
    </row>
    <row r="6">
      <c r="A6" s="41" t="inlineStr">
        <is>
          <t>Trailing EPS</t>
        </is>
      </c>
      <c r="B6" s="42" t="inlineStr">
        <is>
          <t>3,994원</t>
        </is>
      </c>
      <c r="C6" s="41" t="inlineStr">
        <is>
          <t>ROE (2024)</t>
        </is>
      </c>
      <c r="D6" s="42" t="inlineStr">
        <is>
          <t>18.3%</t>
        </is>
      </c>
      <c r="E6" s="41" t="inlineStr">
        <is>
          <t>부채비율</t>
        </is>
      </c>
      <c r="F6" s="42" t="inlineStr">
        <is>
          <t>54.2%</t>
        </is>
      </c>
    </row>
    <row r="8">
      <c r="A8" s="9" t="inlineStr">
        <is>
          <t>멀티플 종합</t>
        </is>
      </c>
    </row>
    <row r="9">
      <c r="A9" s="10" t="inlineStr">
        <is>
          <t>지표</t>
        </is>
      </c>
      <c r="B9" s="10" t="inlineStr">
        <is>
          <t>산출 방식</t>
        </is>
      </c>
      <c r="C9" s="10" t="inlineStr">
        <is>
          <t>값</t>
        </is>
      </c>
      <c r="D9" s="10" t="inlineStr">
        <is>
          <t>판정</t>
        </is>
      </c>
      <c r="E9" s="10" t="inlineStr">
        <is>
          <t>업종평균(참고)</t>
        </is>
      </c>
      <c r="F9" s="10" t="inlineStr">
        <is>
          <t>비고</t>
        </is>
      </c>
    </row>
    <row r="10">
      <c r="A10" s="43" t="inlineStr">
        <is>
          <t>PER (2024 확정)</t>
        </is>
      </c>
      <c r="B10" s="24" t="inlineStr">
        <is>
          <t>주가/EPS(3,661원)</t>
        </is>
      </c>
      <c r="C10" s="44" t="inlineStr">
        <is>
          <t>7.7배</t>
        </is>
      </c>
      <c r="D10" s="45" t="inlineStr">
        <is>
          <t>저평가</t>
        </is>
      </c>
      <c r="E10" s="46" t="inlineStr">
        <is>
          <t>10~15배</t>
        </is>
      </c>
      <c r="F10" s="34" t="inlineStr">
        <is>
          <t>확정 사업보고서</t>
        </is>
      </c>
    </row>
    <row r="11">
      <c r="A11" s="43" t="inlineStr">
        <is>
          <t>PER (Trailing 4Q)</t>
        </is>
      </c>
      <c r="B11" s="24" t="inlineStr">
        <is>
          <t>주가/T4Q EPS(3,994원)</t>
        </is>
      </c>
      <c r="C11" s="44" t="inlineStr">
        <is>
          <t>7.0배</t>
        </is>
      </c>
      <c r="D11" s="45" t="inlineStr">
        <is>
          <t>저평가</t>
        </is>
      </c>
      <c r="E11" s="46" t="inlineStr">
        <is>
          <t>10~15배</t>
        </is>
      </c>
      <c r="F11" s="34" t="inlineStr">
        <is>
          <t>24Q4+25Q1~Q3</t>
        </is>
      </c>
    </row>
    <row r="12">
      <c r="A12" s="43" t="inlineStr">
        <is>
          <t>PER (2025E 연환산)</t>
        </is>
      </c>
      <c r="B12" s="24" t="inlineStr">
        <is>
          <t>주가/연환산EPS(3,273원)</t>
        </is>
      </c>
      <c r="C12" s="44" t="inlineStr">
        <is>
          <t>8.6배</t>
        </is>
      </c>
      <c r="D12" s="45" t="inlineStr">
        <is>
          <t>적정~저평가</t>
        </is>
      </c>
      <c r="E12" s="46" t="inlineStr">
        <is>
          <t>10~15배</t>
        </is>
      </c>
      <c r="F12" s="34" t="inlineStr">
        <is>
          <t>9M×4/3</t>
        </is>
      </c>
    </row>
    <row r="13">
      <c r="A13" s="43" t="inlineStr">
        <is>
          <t>PER (2025E 보수적)</t>
        </is>
      </c>
      <c r="B13" s="24" t="inlineStr">
        <is>
          <t>주가/EPS(3,105원)</t>
        </is>
      </c>
      <c r="C13" s="44" t="inlineStr">
        <is>
          <t>9.0배</t>
        </is>
      </c>
      <c r="D13" s="17" t="inlineStr">
        <is>
          <t>적정</t>
        </is>
      </c>
      <c r="E13" s="46" t="inlineStr">
        <is>
          <t>10~15배</t>
        </is>
      </c>
      <c r="F13" s="34" t="inlineStr">
        <is>
          <t>Q4=Q2Q3평균</t>
        </is>
      </c>
    </row>
    <row r="14">
      <c r="A14" s="43" t="inlineStr">
        <is>
          <t>PBR</t>
        </is>
      </c>
      <c r="B14" s="24" t="inlineStr">
        <is>
          <t>주가/BPS(20,704원)</t>
        </is>
      </c>
      <c r="C14" s="44" t="inlineStr">
        <is>
          <t>1.36배</t>
        </is>
      </c>
      <c r="D14" s="17" t="inlineStr">
        <is>
          <t>적정</t>
        </is>
      </c>
      <c r="E14" s="46" t="inlineStr">
        <is>
          <t>1.0~2.0배</t>
        </is>
      </c>
      <c r="F14" s="34" t="inlineStr"/>
    </row>
    <row r="15">
      <c r="A15" s="43" t="inlineStr">
        <is>
          <t>EV/EBITDA</t>
        </is>
      </c>
      <c r="B15" s="24" t="inlineStr">
        <is>
          <t>EV(5,150억)/EBITDA(908억)</t>
        </is>
      </c>
      <c r="C15" s="44" t="inlineStr">
        <is>
          <t>5.7배</t>
        </is>
      </c>
      <c r="D15" s="45" t="inlineStr">
        <is>
          <t>저평가</t>
        </is>
      </c>
      <c r="E15" s="46" t="inlineStr">
        <is>
          <t>7~12배</t>
        </is>
      </c>
      <c r="F15" s="34" t="inlineStr"/>
    </row>
    <row r="16">
      <c r="A16" s="43" t="inlineStr">
        <is>
          <t>PSR (2024)</t>
        </is>
      </c>
      <c r="B16" s="24" t="inlineStr">
        <is>
          <t>시총/매출(10,571억)</t>
        </is>
      </c>
      <c r="C16" s="44" t="inlineStr">
        <is>
          <t>0.48배</t>
        </is>
      </c>
      <c r="D16" s="47" t="inlineStr">
        <is>
          <t>매우저평가</t>
        </is>
      </c>
      <c r="E16" s="46" t="inlineStr">
        <is>
          <t>0.5~1.5배</t>
        </is>
      </c>
      <c r="F16" s="34" t="inlineStr"/>
    </row>
    <row r="17">
      <c r="A17" s="43" t="inlineStr">
        <is>
          <t>PSR (Trailing)</t>
        </is>
      </c>
      <c r="B17" s="24" t="inlineStr">
        <is>
          <t>시총/T4Q매출(12,763억)</t>
        </is>
      </c>
      <c r="C17" s="44" t="inlineStr">
        <is>
          <t>0.40배</t>
        </is>
      </c>
      <c r="D17" s="47" t="inlineStr">
        <is>
          <t>매우저평가</t>
        </is>
      </c>
      <c r="E17" s="46" t="inlineStr"/>
      <c r="F17" s="34" t="inlineStr"/>
    </row>
    <row r="18">
      <c r="A18" s="43" t="inlineStr">
        <is>
          <t>PCR</t>
        </is>
      </c>
      <c r="B18" s="24" t="inlineStr">
        <is>
          <t>주가/OpCF(4,587원)</t>
        </is>
      </c>
      <c r="C18" s="44" t="inlineStr">
        <is>
          <t>6.1배</t>
        </is>
      </c>
      <c r="D18" s="45" t="inlineStr">
        <is>
          <t>저평가</t>
        </is>
      </c>
      <c r="E18" s="46" t="inlineStr">
        <is>
          <t>8~15배</t>
        </is>
      </c>
      <c r="F18" s="34" t="inlineStr"/>
    </row>
    <row r="19">
      <c r="A19" s="43" t="inlineStr">
        <is>
          <t>배당수익률</t>
        </is>
      </c>
      <c r="B19" s="24" t="inlineStr">
        <is>
          <t>DPS(800원)/주가</t>
        </is>
      </c>
      <c r="C19" s="44" t="inlineStr">
        <is>
          <t>2.8%</t>
        </is>
      </c>
      <c r="D19" s="45" t="inlineStr">
        <is>
          <t>양호</t>
        </is>
      </c>
      <c r="E19" s="46" t="inlineStr">
        <is>
          <t>1~3%</t>
        </is>
      </c>
      <c r="F19" s="34" t="inlineStr"/>
    </row>
    <row r="20">
      <c r="A20" s="43" t="inlineStr">
        <is>
          <t>FCF 수익률</t>
        </is>
      </c>
      <c r="B20" s="24" t="inlineStr">
        <is>
          <t>FCF(2,554원)/주가</t>
        </is>
      </c>
      <c r="C20" s="44" t="inlineStr">
        <is>
          <t>9.1%</t>
        </is>
      </c>
      <c r="D20" s="47" t="inlineStr">
        <is>
          <t>매우양호</t>
        </is>
      </c>
      <c r="E20" s="46" t="inlineStr">
        <is>
          <t>3~6%</t>
        </is>
      </c>
      <c r="F20" s="34" t="inlineStr"/>
    </row>
    <row r="21">
      <c r="A21" s="43" t="inlineStr">
        <is>
          <t>총주주환원율</t>
        </is>
      </c>
      <c r="B21" s="24" t="inlineStr">
        <is>
          <t>(배당+자사주)/시총</t>
        </is>
      </c>
      <c r="C21" s="44" t="inlineStr">
        <is>
          <t>5.2%</t>
        </is>
      </c>
      <c r="D21" s="45" t="inlineStr">
        <is>
          <t>양호</t>
        </is>
      </c>
      <c r="E21" s="46" t="inlineStr">
        <is>
          <t>2~5%</t>
        </is>
      </c>
      <c r="F21" s="34" t="inlineStr"/>
    </row>
    <row r="22">
      <c r="A22" s="43" t="inlineStr">
        <is>
          <t>ROE</t>
        </is>
      </c>
      <c r="B22" s="24" t="inlineStr">
        <is>
          <t>순이익/평균자본</t>
        </is>
      </c>
      <c r="C22" s="44" t="inlineStr">
        <is>
          <t>18.3%</t>
        </is>
      </c>
      <c r="D22" s="45" t="inlineStr">
        <is>
          <t>양호</t>
        </is>
      </c>
      <c r="E22" s="46" t="inlineStr">
        <is>
          <t>8~15%</t>
        </is>
      </c>
      <c r="F22" s="34" t="inlineStr"/>
    </row>
  </sheetData>
  <mergeCells count="2">
    <mergeCell ref="A8:F8"/>
    <mergeCell ref="A1:F2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9" t="inlineStr">
        <is>
          <t>PER 다각도 분석 (현재가 28,100원)</t>
        </is>
      </c>
    </row>
    <row r="2">
      <c r="A2" s="9" t="inlineStr">
        <is>
          <t>A. EPS 산출 방식별 PER</t>
        </is>
      </c>
    </row>
    <row r="3">
      <c r="A3" s="10" t="inlineStr">
        <is>
          <t>산출 방식</t>
        </is>
      </c>
      <c r="B3" s="10" t="inlineStr">
        <is>
          <t>순이익(억)</t>
        </is>
      </c>
      <c r="C3" s="10" t="inlineStr">
        <is>
          <t>EPS(원)</t>
        </is>
      </c>
      <c r="D3" s="10" t="inlineStr">
        <is>
          <t>PER(배)</t>
        </is>
      </c>
      <c r="E3" s="10" t="inlineStr">
        <is>
          <t>의미</t>
        </is>
      </c>
      <c r="F3" s="10" t="inlineStr">
        <is>
          <t>비고</t>
        </is>
      </c>
    </row>
    <row r="4">
      <c r="A4" s="43" t="inlineStr">
        <is>
          <t>2024 확정</t>
        </is>
      </c>
      <c r="B4" s="30" t="n">
        <v>636</v>
      </c>
      <c r="C4" s="48" t="inlineStr">
        <is>
          <t>3,661</t>
        </is>
      </c>
      <c r="D4" s="49" t="inlineStr">
        <is>
          <t>7.68배</t>
        </is>
      </c>
      <c r="E4" s="24" t="inlineStr">
        <is>
          <t>확정치 기준</t>
        </is>
      </c>
      <c r="F4" s="50" t="inlineStr">
        <is>
          <t>사업보고서</t>
        </is>
      </c>
    </row>
    <row r="5">
      <c r="A5" s="43" t="inlineStr">
        <is>
          <t>Trailing 4Q</t>
        </is>
      </c>
      <c r="B5" s="30" t="n">
        <v>694</v>
      </c>
      <c r="C5" s="48" t="inlineStr">
        <is>
          <t>3,994</t>
        </is>
      </c>
      <c r="D5" s="47" t="inlineStr">
        <is>
          <t>7.04배</t>
        </is>
      </c>
      <c r="E5" s="24" t="inlineStr">
        <is>
          <t>직전4분기</t>
        </is>
      </c>
      <c r="F5" s="50" t="inlineStr">
        <is>
          <t>24Q4+25Q1~Q3</t>
        </is>
      </c>
    </row>
    <row r="6">
      <c r="A6" s="43" t="inlineStr">
        <is>
          <t>2025E 연환산</t>
        </is>
      </c>
      <c r="B6" s="30" t="n">
        <v>568</v>
      </c>
      <c r="C6" s="48" t="inlineStr">
        <is>
          <t>3,273</t>
        </is>
      </c>
      <c r="D6" s="49" t="inlineStr">
        <is>
          <t>8.59배</t>
        </is>
      </c>
      <c r="E6" s="24" t="inlineStr">
        <is>
          <t>단순 연율화</t>
        </is>
      </c>
      <c r="F6" s="50" t="inlineStr">
        <is>
          <t>9M×4/3</t>
        </is>
      </c>
    </row>
    <row r="7">
      <c r="A7" s="43" t="inlineStr">
        <is>
          <t>2025E (24Q4 대입)</t>
        </is>
      </c>
      <c r="B7" s="30" t="n">
        <v>694</v>
      </c>
      <c r="C7" s="48" t="inlineStr">
        <is>
          <t>3,994</t>
        </is>
      </c>
      <c r="D7" s="47" t="inlineStr">
        <is>
          <t>7.04배</t>
        </is>
      </c>
      <c r="E7" s="24" t="inlineStr">
        <is>
          <t>전년Q4 대입</t>
        </is>
      </c>
      <c r="F7" s="50" t="inlineStr">
        <is>
          <t>Q4 통상 강세</t>
        </is>
      </c>
    </row>
    <row r="8">
      <c r="A8" s="43" t="inlineStr">
        <is>
          <t>2025E 보수적</t>
        </is>
      </c>
      <c r="B8" s="30" t="n">
        <v>539</v>
      </c>
      <c r="C8" s="48" t="inlineStr">
        <is>
          <t>3,105</t>
        </is>
      </c>
      <c r="D8" s="17" t="inlineStr">
        <is>
          <t>9.05배</t>
        </is>
      </c>
      <c r="E8" s="24" t="inlineStr">
        <is>
          <t>하반기 둔화</t>
        </is>
      </c>
      <c r="F8" s="50" t="inlineStr">
        <is>
          <t>Q4=Q2Q3평균</t>
        </is>
      </c>
    </row>
    <row r="10">
      <c r="A10" s="9" t="inlineStr">
        <is>
          <t>B. 분기별 실적 추이 (백만원)</t>
        </is>
      </c>
    </row>
    <row r="11">
      <c r="A11" s="10" t="inlineStr">
        <is>
          <t>분기</t>
        </is>
      </c>
      <c r="B11" s="10" t="inlineStr">
        <is>
          <t>매출액</t>
        </is>
      </c>
      <c r="C11" s="10" t="inlineStr">
        <is>
          <t>영업이익</t>
        </is>
      </c>
      <c r="D11" s="10" t="inlineStr">
        <is>
          <t>OPM</t>
        </is>
      </c>
      <c r="E11" s="10" t="inlineStr">
        <is>
          <t>순이익</t>
        </is>
      </c>
      <c r="F11" s="10" t="inlineStr">
        <is>
          <t>YoY 순이익</t>
        </is>
      </c>
    </row>
    <row r="12">
      <c r="A12" s="35" t="inlineStr">
        <is>
          <t>24Q1</t>
        </is>
      </c>
      <c r="B12" s="30" t="inlineStr">
        <is>
          <t>287,835</t>
        </is>
      </c>
      <c r="C12" s="30" t="inlineStr">
        <is>
          <t>15,204</t>
        </is>
      </c>
      <c r="D12" s="26" t="inlineStr">
        <is>
          <t>5.3%</t>
        </is>
      </c>
      <c r="E12" s="30" t="inlineStr">
        <is>
          <t>15,929</t>
        </is>
      </c>
      <c r="F12" s="33" t="inlineStr"/>
    </row>
    <row r="13">
      <c r="A13" s="35" t="inlineStr">
        <is>
          <t>24Q2</t>
        </is>
      </c>
      <c r="B13" s="30" t="inlineStr">
        <is>
          <t>225,759</t>
        </is>
      </c>
      <c r="C13" s="30" t="inlineStr">
        <is>
          <t>7,650</t>
        </is>
      </c>
      <c r="D13" s="16" t="inlineStr">
        <is>
          <t>3.4%</t>
        </is>
      </c>
      <c r="E13" s="30" t="inlineStr">
        <is>
          <t>18,422</t>
        </is>
      </c>
      <c r="F13" s="33" t="inlineStr"/>
    </row>
    <row r="14">
      <c r="A14" s="35" t="inlineStr">
        <is>
          <t>24Q3</t>
        </is>
      </c>
      <c r="B14" s="30" t="inlineStr">
        <is>
          <t>245,070</t>
        </is>
      </c>
      <c r="C14" s="30" t="inlineStr">
        <is>
          <t>3,077</t>
        </is>
      </c>
      <c r="D14" s="25" t="inlineStr">
        <is>
          <t>1.3%</t>
        </is>
      </c>
      <c r="E14" s="30" t="inlineStr">
        <is>
          <t>2,504</t>
        </is>
      </c>
      <c r="F14" s="33" t="inlineStr"/>
    </row>
    <row r="15">
      <c r="A15" s="35" t="inlineStr">
        <is>
          <t>24Q4</t>
        </is>
      </c>
      <c r="B15" s="30" t="inlineStr">
        <is>
          <t>298,393</t>
        </is>
      </c>
      <c r="C15" s="30" t="inlineStr">
        <is>
          <t>18,452</t>
        </is>
      </c>
      <c r="D15" s="26" t="inlineStr">
        <is>
          <t>6.2%</t>
        </is>
      </c>
      <c r="E15" s="30" t="inlineStr">
        <is>
          <t>26,747</t>
        </is>
      </c>
      <c r="F15" s="33" t="inlineStr"/>
    </row>
    <row r="16">
      <c r="A16" s="51" t="inlineStr">
        <is>
          <t>25Q1</t>
        </is>
      </c>
      <c r="B16" s="52" t="inlineStr">
        <is>
          <t>347,917</t>
        </is>
      </c>
      <c r="C16" s="52" t="inlineStr">
        <is>
          <t>20,918</t>
        </is>
      </c>
      <c r="D16" s="47" t="inlineStr">
        <is>
          <t>6.0%</t>
        </is>
      </c>
      <c r="E16" s="52" t="inlineStr">
        <is>
          <t>20,068</t>
        </is>
      </c>
      <c r="F16" s="53" t="inlineStr">
        <is>
          <t>+26.0%</t>
        </is>
      </c>
    </row>
    <row r="17">
      <c r="A17" s="51" t="inlineStr">
        <is>
          <t>25Q2</t>
        </is>
      </c>
      <c r="B17" s="52" t="inlineStr">
        <is>
          <t>326,424</t>
        </is>
      </c>
      <c r="C17" s="52" t="inlineStr">
        <is>
          <t>16,171</t>
        </is>
      </c>
      <c r="D17" s="20" t="inlineStr">
        <is>
          <t>5.0%</t>
        </is>
      </c>
      <c r="E17" s="52" t="inlineStr">
        <is>
          <t>13,050</t>
        </is>
      </c>
      <c r="F17" s="53" t="inlineStr">
        <is>
          <t>-29.2%</t>
        </is>
      </c>
    </row>
    <row r="18">
      <c r="A18" s="51" t="inlineStr">
        <is>
          <t>25Q3</t>
        </is>
      </c>
      <c r="B18" s="52" t="inlineStr">
        <is>
          <t>303,537</t>
        </is>
      </c>
      <c r="C18" s="52" t="inlineStr">
        <is>
          <t>6,708</t>
        </is>
      </c>
      <c r="D18" s="54" t="inlineStr">
        <is>
          <t>2.2%</t>
        </is>
      </c>
      <c r="E18" s="52" t="inlineStr">
        <is>
          <t>9,537</t>
        </is>
      </c>
      <c r="F18" s="53" t="inlineStr">
        <is>
          <t>+280.7%</t>
        </is>
      </c>
    </row>
    <row r="19">
      <c r="A19" s="17" t="inlineStr">
        <is>
          <t>Trailing 4Q</t>
        </is>
      </c>
      <c r="B19" s="28" t="inlineStr">
        <is>
          <t>1,276,271</t>
        </is>
      </c>
      <c r="C19" s="28" t="inlineStr">
        <is>
          <t>62,249</t>
        </is>
      </c>
      <c r="D19" s="17" t="inlineStr">
        <is>
          <t>4.9%</t>
        </is>
      </c>
      <c r="E19" s="28" t="inlineStr">
        <is>
          <t>69,402</t>
        </is>
      </c>
      <c r="F19" s="17" t="inlineStr"/>
    </row>
    <row r="21">
      <c r="A21" s="9" t="inlineStr">
        <is>
          <t>C. 목표PER별 적정주가</t>
        </is>
      </c>
    </row>
    <row r="22">
      <c r="A22" s="10" t="inlineStr">
        <is>
          <t>기준</t>
        </is>
      </c>
      <c r="B22" s="10" t="inlineStr">
        <is>
          <t>EPS(원)</t>
        </is>
      </c>
      <c r="C22" s="10" t="inlineStr">
        <is>
          <t>PER 7배</t>
        </is>
      </c>
      <c r="D22" s="10" t="inlineStr">
        <is>
          <t>PER 8배</t>
        </is>
      </c>
      <c r="E22" s="10" t="inlineStr">
        <is>
          <t>PER 10배</t>
        </is>
      </c>
      <c r="F22" s="10" t="inlineStr">
        <is>
          <t>PER 12배</t>
        </is>
      </c>
    </row>
    <row r="23">
      <c r="A23" s="43" t="inlineStr">
        <is>
          <t>2024 확정</t>
        </is>
      </c>
      <c r="B23" s="48" t="inlineStr">
        <is>
          <t>3,661</t>
        </is>
      </c>
      <c r="C23" s="30" t="inlineStr">
        <is>
          <t>25,627원</t>
        </is>
      </c>
      <c r="D23" s="52" t="inlineStr">
        <is>
          <t>29,288원</t>
        </is>
      </c>
      <c r="E23" s="55" t="inlineStr">
        <is>
          <t>36,610원</t>
        </is>
      </c>
      <c r="F23" s="55" t="inlineStr">
        <is>
          <t>43,932원</t>
        </is>
      </c>
    </row>
    <row r="24">
      <c r="A24" s="43" t="inlineStr">
        <is>
          <t>Trailing 4Q</t>
        </is>
      </c>
      <c r="B24" s="48" t="inlineStr">
        <is>
          <t>3,994</t>
        </is>
      </c>
      <c r="C24" s="30" t="inlineStr">
        <is>
          <t>27,958원</t>
        </is>
      </c>
      <c r="D24" s="52" t="inlineStr">
        <is>
          <t>31,952원</t>
        </is>
      </c>
      <c r="E24" s="55" t="inlineStr">
        <is>
          <t>39,940원</t>
        </is>
      </c>
      <c r="F24" s="55" t="inlineStr">
        <is>
          <t>47,928원</t>
        </is>
      </c>
    </row>
    <row r="25">
      <c r="A25" s="43" t="inlineStr">
        <is>
          <t>2025E (24Q4대입)</t>
        </is>
      </c>
      <c r="B25" s="48" t="inlineStr">
        <is>
          <t>3,994</t>
        </is>
      </c>
      <c r="C25" s="30" t="inlineStr">
        <is>
          <t>27,958원</t>
        </is>
      </c>
      <c r="D25" s="52" t="inlineStr">
        <is>
          <t>31,952원</t>
        </is>
      </c>
      <c r="E25" s="55" t="inlineStr">
        <is>
          <t>39,940원</t>
        </is>
      </c>
      <c r="F25" s="55" t="inlineStr">
        <is>
          <t>47,928원</t>
        </is>
      </c>
    </row>
    <row r="26">
      <c r="A26" s="43" t="inlineStr">
        <is>
          <t>2025E 보수적</t>
        </is>
      </c>
      <c r="B26" s="48" t="inlineStr">
        <is>
          <t>3,105</t>
        </is>
      </c>
      <c r="C26" s="30" t="inlineStr">
        <is>
          <t>21,735원</t>
        </is>
      </c>
      <c r="D26" s="30" t="inlineStr">
        <is>
          <t>24,840원</t>
        </is>
      </c>
      <c r="E26" s="55" t="inlineStr">
        <is>
          <t>31,050원</t>
        </is>
      </c>
      <c r="F26" s="55" t="inlineStr">
        <is>
          <t>37,260원</t>
        </is>
      </c>
    </row>
    <row r="28">
      <c r="A28" s="56" t="inlineStr">
        <is>
          <t>→ 현재 28,100원 = Trailing EPS 기준 PER 7.0배. 목표PER 10배 시 적정가 ~39,948원</t>
        </is>
      </c>
    </row>
  </sheetData>
  <mergeCells count="5">
    <mergeCell ref="A2:F2"/>
    <mergeCell ref="A10:F10"/>
    <mergeCell ref="A28:F28"/>
    <mergeCell ref="A1:F1"/>
    <mergeCell ref="A21:F2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9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9" t="inlineStr">
        <is>
          <t>PBR / ROE / 잔여이익모델(RIM)</t>
        </is>
      </c>
    </row>
    <row r="2">
      <c r="A2" s="9" t="inlineStr">
        <is>
          <t>A. 연도별 BPS/ROE 추이</t>
        </is>
      </c>
    </row>
    <row r="3">
      <c r="A3" s="10" t="inlineStr">
        <is>
          <t>연도</t>
        </is>
      </c>
      <c r="B3" s="10" t="inlineStr">
        <is>
          <t>자본(억)</t>
        </is>
      </c>
      <c r="C3" s="10" t="inlineStr">
        <is>
          <t>BPS(원)</t>
        </is>
      </c>
      <c r="D3" s="10" t="inlineStr">
        <is>
          <t>ROE</t>
        </is>
      </c>
      <c r="E3" s="10" t="inlineStr">
        <is>
          <t>EPS(원)</t>
        </is>
      </c>
      <c r="F3" s="10" t="inlineStr">
        <is>
          <t>순이익(억)</t>
        </is>
      </c>
    </row>
    <row r="4">
      <c r="A4" s="35" t="inlineStr">
        <is>
          <t>2019</t>
        </is>
      </c>
      <c r="B4" s="30" t="n">
        <v>2245</v>
      </c>
      <c r="C4" s="48" t="inlineStr">
        <is>
          <t>12,491</t>
        </is>
      </c>
      <c r="D4" s="26" t="inlineStr">
        <is>
          <t>37.6%</t>
        </is>
      </c>
      <c r="E4" s="30" t="inlineStr">
        <is>
          <t>5,151</t>
        </is>
      </c>
      <c r="F4" s="30" t="n">
        <v>845</v>
      </c>
    </row>
    <row r="5">
      <c r="A5" s="35" t="inlineStr">
        <is>
          <t>2020</t>
        </is>
      </c>
      <c r="B5" s="30" t="n">
        <v>2529</v>
      </c>
      <c r="C5" s="48" t="inlineStr">
        <is>
          <t>14,069</t>
        </is>
      </c>
      <c r="D5" s="26" t="inlineStr">
        <is>
          <t>16.1%</t>
        </is>
      </c>
      <c r="E5" s="30" t="inlineStr">
        <is>
          <t>2,180</t>
        </is>
      </c>
      <c r="F5" s="30" t="n">
        <v>384</v>
      </c>
    </row>
    <row r="6">
      <c r="A6" s="35" t="inlineStr">
        <is>
          <t>2021</t>
        </is>
      </c>
      <c r="B6" s="30" t="n">
        <v>2989</v>
      </c>
      <c r="C6" s="48" t="inlineStr">
        <is>
          <t>16,629</t>
        </is>
      </c>
      <c r="D6" s="26" t="inlineStr">
        <is>
          <t>14.3%</t>
        </is>
      </c>
      <c r="E6" s="30" t="inlineStr">
        <is>
          <t>2,229</t>
        </is>
      </c>
      <c r="F6" s="30" t="n">
        <v>395</v>
      </c>
    </row>
    <row r="7">
      <c r="A7" s="35" t="inlineStr">
        <is>
          <t>2022</t>
        </is>
      </c>
      <c r="B7" s="30" t="n">
        <v>3090</v>
      </c>
      <c r="C7" s="48" t="inlineStr">
        <is>
          <t>17,191</t>
        </is>
      </c>
      <c r="D7" s="16" t="inlineStr">
        <is>
          <t>7.6%</t>
        </is>
      </c>
      <c r="E7" s="30" t="inlineStr">
        <is>
          <t>1,293</t>
        </is>
      </c>
      <c r="F7" s="30" t="n">
        <v>229</v>
      </c>
    </row>
    <row r="8">
      <c r="A8" s="35" t="inlineStr">
        <is>
          <t>2023</t>
        </is>
      </c>
      <c r="B8" s="30" t="n">
        <v>3236</v>
      </c>
      <c r="C8" s="48" t="inlineStr">
        <is>
          <t>18,000</t>
        </is>
      </c>
      <c r="D8" s="16" t="inlineStr">
        <is>
          <t>8.8%</t>
        </is>
      </c>
      <c r="E8" s="30" t="inlineStr">
        <is>
          <t>1,585</t>
        </is>
      </c>
      <c r="F8" s="30" t="n">
        <v>279</v>
      </c>
    </row>
    <row r="9">
      <c r="A9" s="35" t="inlineStr">
        <is>
          <t>2024</t>
        </is>
      </c>
      <c r="B9" s="30" t="n">
        <v>3722</v>
      </c>
      <c r="C9" s="48" t="inlineStr">
        <is>
          <t>20,704</t>
        </is>
      </c>
      <c r="D9" s="26" t="inlineStr">
        <is>
          <t>18.3%</t>
        </is>
      </c>
      <c r="E9" s="30" t="inlineStr">
        <is>
          <t>3,661</t>
        </is>
      </c>
      <c r="F9" s="30" t="n">
        <v>636</v>
      </c>
    </row>
    <row r="11">
      <c r="A11" s="9" t="inlineStr">
        <is>
          <t>B. 현재 PBR</t>
        </is>
      </c>
    </row>
    <row r="12">
      <c r="A12" s="43" t="inlineStr">
        <is>
          <t>BPS (20,704원)</t>
        </is>
      </c>
      <c r="B12" s="44" t="inlineStr">
        <is>
          <t>PBR = 1.36배</t>
        </is>
      </c>
    </row>
    <row r="13">
      <c r="A13" s="43" t="inlineStr">
        <is>
          <t>PBR 1.0배 주가</t>
        </is>
      </c>
      <c r="B13" s="44" t="inlineStr">
        <is>
          <t>20,704원</t>
        </is>
      </c>
    </row>
    <row r="14">
      <c r="A14" s="43" t="inlineStr">
        <is>
          <t>PBR 1.5배 주가</t>
        </is>
      </c>
      <c r="B14" s="44" t="inlineStr">
        <is>
          <t>31,057원</t>
        </is>
      </c>
    </row>
    <row r="15">
      <c r="A15" s="43" t="inlineStr">
        <is>
          <t>PBR 2.0배 주가</t>
        </is>
      </c>
      <c r="B15" s="44" t="inlineStr">
        <is>
          <t>41,409원</t>
        </is>
      </c>
    </row>
    <row r="17">
      <c r="A17" s="9" t="inlineStr">
        <is>
          <t>C. 잔여이익모델(RIM) 적정주가</t>
        </is>
      </c>
    </row>
    <row r="18">
      <c r="A18" s="57" t="inlineStr">
        <is>
          <t>산식: BPS × (1 + (ROE-ke)/(ke-g)) | ke=10% (무위험3.5%+β1.0×ERP6.5%)</t>
        </is>
      </c>
    </row>
    <row r="19">
      <c r="A19" s="10" t="inlineStr">
        <is>
          <t>시나리오</t>
        </is>
      </c>
      <c r="B19" s="10" t="inlineStr">
        <is>
          <t>지속ROE</t>
        </is>
      </c>
      <c r="C19" s="10" t="inlineStr">
        <is>
          <t>ke</t>
        </is>
      </c>
      <c r="D19" s="10" t="inlineStr">
        <is>
          <t>성장률(g)</t>
        </is>
      </c>
      <c r="E19" s="10" t="inlineStr">
        <is>
          <t>적정주가</t>
        </is>
      </c>
      <c r="F19" s="10" t="inlineStr">
        <is>
          <t>현재가 대비</t>
        </is>
      </c>
    </row>
    <row r="20">
      <c r="A20" s="43" t="inlineStr">
        <is>
          <t>보수적(ROE=ke)</t>
        </is>
      </c>
      <c r="B20" s="16" t="inlineStr">
        <is>
          <t>10%</t>
        </is>
      </c>
      <c r="C20" s="16" t="inlineStr">
        <is>
          <t>10%</t>
        </is>
      </c>
      <c r="D20" s="16" t="inlineStr">
        <is>
          <t>2%</t>
        </is>
      </c>
      <c r="E20" s="48" t="inlineStr">
        <is>
          <t>20,704원</t>
        </is>
      </c>
      <c r="F20" s="58" t="inlineStr">
        <is>
          <t>-26.3%</t>
        </is>
      </c>
    </row>
    <row r="21">
      <c r="A21" s="43" t="inlineStr">
        <is>
          <t>기본(과거평균)</t>
        </is>
      </c>
      <c r="B21" s="16" t="inlineStr">
        <is>
          <t>12%</t>
        </is>
      </c>
      <c r="C21" s="16" t="inlineStr">
        <is>
          <t>10%</t>
        </is>
      </c>
      <c r="D21" s="16" t="inlineStr">
        <is>
          <t>2%</t>
        </is>
      </c>
      <c r="E21" s="48" t="inlineStr">
        <is>
          <t>25,880원</t>
        </is>
      </c>
      <c r="F21" s="58" t="inlineStr">
        <is>
          <t>-7.9%</t>
        </is>
      </c>
    </row>
    <row r="22">
      <c r="A22" s="43" t="inlineStr">
        <is>
          <t>적극적(최근)</t>
        </is>
      </c>
      <c r="B22" s="16" t="inlineStr">
        <is>
          <t>15%</t>
        </is>
      </c>
      <c r="C22" s="16" t="inlineStr">
        <is>
          <t>10%</t>
        </is>
      </c>
      <c r="D22" s="16" t="inlineStr">
        <is>
          <t>2%</t>
        </is>
      </c>
      <c r="E22" s="48" t="inlineStr">
        <is>
          <t>33,645원</t>
        </is>
      </c>
      <c r="F22" s="47" t="inlineStr">
        <is>
          <t>+19.7%</t>
        </is>
      </c>
    </row>
    <row r="23">
      <c r="A23" s="43" t="inlineStr">
        <is>
          <t>낙관적(ROE유지)</t>
        </is>
      </c>
      <c r="B23" s="16" t="inlineStr">
        <is>
          <t>18%</t>
        </is>
      </c>
      <c r="C23" s="16" t="inlineStr">
        <is>
          <t>10%</t>
        </is>
      </c>
      <c r="D23" s="16" t="inlineStr">
        <is>
          <t>3%</t>
        </is>
      </c>
      <c r="E23" s="48" t="inlineStr">
        <is>
          <t>44,367원</t>
        </is>
      </c>
      <c r="F23" s="47" t="inlineStr">
        <is>
          <t>+57.9%</t>
        </is>
      </c>
    </row>
    <row r="25">
      <c r="A25" s="56" t="inlineStr">
        <is>
          <t>→ 기본(ROE12%) 적정가 ~25,880원. 적극적(15%) ~33,645원. 현재가는 ROE 12~15% 반영.</t>
        </is>
      </c>
    </row>
  </sheetData>
  <mergeCells count="5">
    <mergeCell ref="A2:F2"/>
    <mergeCell ref="A11:F11"/>
    <mergeCell ref="A1:F1"/>
    <mergeCell ref="A17:F17"/>
    <mergeCell ref="A25:F25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9" t="inlineStr">
        <is>
          <t>EV/EBITDA &amp; FCF 밸류에이션</t>
        </is>
      </c>
    </row>
    <row r="2">
      <c r="A2" s="9" t="inlineStr">
        <is>
          <t>A. Enterprise Value</t>
        </is>
      </c>
    </row>
    <row r="3">
      <c r="A3" s="10" t="inlineStr">
        <is>
          <t>항목</t>
        </is>
      </c>
      <c r="B3" s="10" t="inlineStr">
        <is>
          <t>금액(억)</t>
        </is>
      </c>
      <c r="C3" s="10" t="inlineStr">
        <is>
          <t>비고</t>
        </is>
      </c>
      <c r="D3" s="10" t="inlineStr"/>
      <c r="E3" s="10" t="inlineStr"/>
    </row>
    <row r="4">
      <c r="A4" s="37" t="inlineStr">
        <is>
          <t>시가총액</t>
        </is>
      </c>
      <c r="B4" s="30" t="inlineStr">
        <is>
          <t>5,051</t>
        </is>
      </c>
      <c r="C4" s="34" t="inlineStr">
        <is>
          <t>주가28,100×17,977,732주</t>
        </is>
      </c>
      <c r="D4" s="24" t="inlineStr"/>
      <c r="E4" s="24" t="inlineStr"/>
    </row>
    <row r="5">
      <c r="A5" s="37" t="inlineStr">
        <is>
          <t>(+) 총차입금</t>
        </is>
      </c>
      <c r="B5" s="30" t="inlineStr">
        <is>
          <t>457</t>
        </is>
      </c>
      <c r="C5" s="34" t="inlineStr">
        <is>
          <t>단기444+장기13</t>
        </is>
      </c>
      <c r="D5" s="24" t="inlineStr"/>
      <c r="E5" s="24" t="inlineStr"/>
    </row>
    <row r="6">
      <c r="A6" s="37" t="inlineStr">
        <is>
          <t>(-) 현금</t>
        </is>
      </c>
      <c r="B6" s="30" t="inlineStr">
        <is>
          <t>358</t>
        </is>
      </c>
      <c r="C6" s="34" t="inlineStr"/>
      <c r="D6" s="24" t="inlineStr"/>
      <c r="E6" s="24" t="inlineStr"/>
    </row>
    <row r="7">
      <c r="A7" s="27" t="inlineStr">
        <is>
          <t>(=) 순차입금</t>
        </is>
      </c>
      <c r="B7" s="48" t="inlineStr">
        <is>
          <t>98</t>
        </is>
      </c>
      <c r="C7" s="34" t="inlineStr"/>
      <c r="D7" s="24" t="inlineStr"/>
      <c r="E7" s="24" t="inlineStr"/>
    </row>
    <row r="8">
      <c r="A8" s="27" t="inlineStr">
        <is>
          <t>(=) EV</t>
        </is>
      </c>
      <c r="B8" s="48" t="inlineStr">
        <is>
          <t>5,150</t>
        </is>
      </c>
      <c r="C8" s="34" t="inlineStr">
        <is>
          <t>시총+순차입금</t>
        </is>
      </c>
      <c r="D8" s="24" t="inlineStr"/>
      <c r="E8" s="24" t="inlineStr"/>
    </row>
    <row r="10">
      <c r="A10" s="9" t="inlineStr">
        <is>
          <t>B. EBITDA</t>
        </is>
      </c>
    </row>
    <row r="11">
      <c r="A11" s="10" t="inlineStr">
        <is>
          <t>항목</t>
        </is>
      </c>
      <c r="B11" s="10" t="inlineStr">
        <is>
          <t>2024(억)</t>
        </is>
      </c>
      <c r="C11" s="10" t="inlineStr">
        <is>
          <t>비고</t>
        </is>
      </c>
      <c r="D11" s="10" t="inlineStr"/>
      <c r="E11" s="10" t="inlineStr"/>
    </row>
    <row r="12">
      <c r="A12" s="37" t="inlineStr">
        <is>
          <t>영업이익</t>
        </is>
      </c>
      <c r="B12" s="30" t="inlineStr">
        <is>
          <t>443</t>
        </is>
      </c>
      <c r="C12" s="34" t="inlineStr"/>
      <c r="D12" s="24" t="inlineStr"/>
      <c r="E12" s="24" t="inlineStr"/>
    </row>
    <row r="13">
      <c r="A13" s="37" t="inlineStr">
        <is>
          <t>(+) 감가상각비</t>
        </is>
      </c>
      <c r="B13" s="30" t="inlineStr">
        <is>
          <t>442</t>
        </is>
      </c>
      <c r="C13" s="34" t="inlineStr">
        <is>
          <t>유형자산</t>
        </is>
      </c>
      <c r="D13" s="24" t="inlineStr"/>
      <c r="E13" s="24" t="inlineStr"/>
    </row>
    <row r="14">
      <c r="A14" s="37" t="inlineStr">
        <is>
          <t>(+) 투자부동산상각</t>
        </is>
      </c>
      <c r="B14" s="30" t="inlineStr">
        <is>
          <t>4</t>
        </is>
      </c>
      <c r="C14" s="34" t="inlineStr"/>
      <c r="D14" s="24" t="inlineStr"/>
      <c r="E14" s="24" t="inlineStr"/>
    </row>
    <row r="15">
      <c r="A15" s="37" t="inlineStr">
        <is>
          <t>(+) 무형자산상각</t>
        </is>
      </c>
      <c r="B15" s="30" t="inlineStr">
        <is>
          <t>17</t>
        </is>
      </c>
      <c r="C15" s="34" t="inlineStr"/>
      <c r="D15" s="24" t="inlineStr"/>
      <c r="E15" s="24" t="inlineStr"/>
    </row>
    <row r="16">
      <c r="A16" s="27" t="inlineStr">
        <is>
          <t>(=) EBITDA</t>
        </is>
      </c>
      <c r="B16" s="48" t="inlineStr">
        <is>
          <t>908</t>
        </is>
      </c>
      <c r="C16" s="34" t="inlineStr">
        <is>
          <t>마진 8.6%</t>
        </is>
      </c>
      <c r="D16" s="24" t="inlineStr"/>
      <c r="E16" s="24" t="inlineStr"/>
    </row>
    <row r="18">
      <c r="A18" s="9" t="inlineStr">
        <is>
          <t>C. EV/EBITDA 적정주가</t>
        </is>
      </c>
    </row>
    <row r="19">
      <c r="A19" s="10" t="inlineStr">
        <is>
          <t>기준</t>
        </is>
      </c>
      <c r="B19" s="10" t="inlineStr">
        <is>
          <t>EBITDA(억)</t>
        </is>
      </c>
      <c r="C19" s="10" t="inlineStr">
        <is>
          <t>현재배수</t>
        </is>
      </c>
      <c r="D19" s="10" t="inlineStr">
        <is>
          <t>적정EV(8배)</t>
        </is>
      </c>
      <c r="E19" s="10" t="inlineStr">
        <is>
          <t>적정주가(8배)</t>
        </is>
      </c>
    </row>
    <row r="20">
      <c r="A20" s="43" t="inlineStr">
        <is>
          <t>2024 확정</t>
        </is>
      </c>
      <c r="B20" s="30" t="inlineStr">
        <is>
          <t>908</t>
        </is>
      </c>
      <c r="C20" s="44" t="inlineStr">
        <is>
          <t>5.7배</t>
        </is>
      </c>
      <c r="D20" s="30" t="inlineStr">
        <is>
          <t>7,264억</t>
        </is>
      </c>
      <c r="E20" s="55" t="inlineStr">
        <is>
          <t>39,860원</t>
        </is>
      </c>
    </row>
    <row r="21">
      <c r="A21" s="43" t="inlineStr">
        <is>
          <t>Trailing 4Q</t>
        </is>
      </c>
      <c r="B21" s="30" t="inlineStr">
        <is>
          <t>1,086</t>
        </is>
      </c>
      <c r="C21" s="44" t="inlineStr">
        <is>
          <t>4.7배</t>
        </is>
      </c>
      <c r="D21" s="30" t="inlineStr">
        <is>
          <t>8,688억</t>
        </is>
      </c>
      <c r="E21" s="55" t="inlineStr">
        <is>
          <t>47,781원</t>
        </is>
      </c>
    </row>
    <row r="22">
      <c r="A22" s="43" t="inlineStr">
        <is>
          <t>2025E 연환산</t>
        </is>
      </c>
      <c r="B22" s="30" t="inlineStr">
        <is>
          <t>1,047</t>
        </is>
      </c>
      <c r="C22" s="44" t="inlineStr">
        <is>
          <t>4.9배</t>
        </is>
      </c>
      <c r="D22" s="30" t="inlineStr">
        <is>
          <t>8,376억</t>
        </is>
      </c>
      <c r="E22" s="55" t="inlineStr">
        <is>
          <t>46,045원</t>
        </is>
      </c>
    </row>
    <row r="24">
      <c r="A24" s="9" t="inlineStr">
        <is>
          <t>D. FCF &amp; 주주환원</t>
        </is>
      </c>
    </row>
    <row r="25">
      <c r="A25" s="10" t="inlineStr">
        <is>
          <t>항목</t>
        </is>
      </c>
      <c r="B25" s="10" t="inlineStr">
        <is>
          <t>2024(억)</t>
        </is>
      </c>
      <c r="C25" s="10" t="inlineStr">
        <is>
          <t>비고</t>
        </is>
      </c>
      <c r="D25" s="10" t="inlineStr"/>
      <c r="E25" s="10" t="inlineStr"/>
    </row>
    <row r="26">
      <c r="A26" s="37" t="inlineStr">
        <is>
          <t>영업활동CF</t>
        </is>
      </c>
      <c r="B26" s="30" t="inlineStr">
        <is>
          <t>824</t>
        </is>
      </c>
      <c r="C26" s="34" t="inlineStr"/>
      <c r="D26" s="24" t="inlineStr"/>
      <c r="E26" s="24" t="inlineStr"/>
    </row>
    <row r="27">
      <c r="A27" s="37" t="inlineStr">
        <is>
          <t>(-) CAPEX</t>
        </is>
      </c>
      <c r="B27" s="30" t="inlineStr">
        <is>
          <t>365</t>
        </is>
      </c>
      <c r="C27" s="34" t="inlineStr">
        <is>
          <t>유형자산취득</t>
        </is>
      </c>
      <c r="D27" s="24" t="inlineStr"/>
      <c r="E27" s="24" t="inlineStr"/>
    </row>
    <row r="28">
      <c r="A28" s="27" t="inlineStr">
        <is>
          <t>(=) FCF</t>
        </is>
      </c>
      <c r="B28" s="48" t="inlineStr">
        <is>
          <t>459</t>
        </is>
      </c>
      <c r="C28" s="34" t="inlineStr"/>
      <c r="D28" s="24" t="inlineStr"/>
      <c r="E28" s="24" t="inlineStr"/>
    </row>
    <row r="29">
      <c r="A29" s="37" t="inlineStr">
        <is>
          <t>FCF/주</t>
        </is>
      </c>
      <c r="B29" s="30" t="inlineStr">
        <is>
          <t>2,554원</t>
        </is>
      </c>
      <c r="C29" s="34" t="inlineStr"/>
      <c r="D29" s="24" t="inlineStr"/>
      <c r="E29" s="24" t="inlineStr"/>
    </row>
    <row r="30">
      <c r="A30" s="27" t="inlineStr">
        <is>
          <t>FCF 수익률</t>
        </is>
      </c>
      <c r="B30" s="48" t="inlineStr">
        <is>
          <t>9.1%</t>
        </is>
      </c>
      <c r="C30" s="34" t="inlineStr"/>
      <c r="D30" s="24" t="inlineStr"/>
      <c r="E30" s="24" t="inlineStr"/>
    </row>
    <row r="32">
      <c r="A32" s="37" t="inlineStr">
        <is>
          <t>배당금 지급</t>
        </is>
      </c>
      <c r="B32" s="30" t="inlineStr">
        <is>
          <t>105</t>
        </is>
      </c>
      <c r="C32" s="34" t="inlineStr">
        <is>
          <t>800원/주</t>
        </is>
      </c>
      <c r="D32" s="24" t="inlineStr"/>
      <c r="E32" s="24" t="inlineStr"/>
    </row>
    <row r="33">
      <c r="A33" s="37" t="inlineStr">
        <is>
          <t>자기주식 취득</t>
        </is>
      </c>
      <c r="B33" s="30" t="inlineStr">
        <is>
          <t>156</t>
        </is>
      </c>
      <c r="C33" s="34" t="inlineStr"/>
      <c r="D33" s="24" t="inlineStr"/>
      <c r="E33" s="24" t="inlineStr"/>
    </row>
    <row r="34">
      <c r="A34" s="27" t="inlineStr">
        <is>
          <t>총 주주환원</t>
        </is>
      </c>
      <c r="B34" s="48" t="inlineStr">
        <is>
          <t>262</t>
        </is>
      </c>
      <c r="C34" s="34" t="inlineStr"/>
      <c r="D34" s="24" t="inlineStr"/>
      <c r="E34" s="24" t="inlineStr"/>
    </row>
    <row r="35">
      <c r="A35" s="27" t="inlineStr">
        <is>
          <t>총주주환원율</t>
        </is>
      </c>
      <c r="B35" s="48" t="inlineStr">
        <is>
          <t>5.2%</t>
        </is>
      </c>
      <c r="C35" s="34" t="inlineStr"/>
      <c r="D35" s="24" t="inlineStr"/>
      <c r="E35" s="24" t="inlineStr"/>
    </row>
    <row r="37">
      <c r="A37" s="56" t="inlineStr">
        <is>
          <t>→ FCF수익률 9.1%, 총주주환원 5.2%. 시총 대비 연간 460억 잉여현금 창출.</t>
        </is>
      </c>
    </row>
  </sheetData>
  <mergeCells count="6">
    <mergeCell ref="A24:E24"/>
    <mergeCell ref="A2:E2"/>
    <mergeCell ref="A10:E10"/>
    <mergeCell ref="A1:E1"/>
    <mergeCell ref="A37:E37"/>
    <mergeCell ref="A18:E18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9" t="inlineStr">
        <is>
          <t>시나리오별 목표주가 (현재가 28,100원)</t>
        </is>
      </c>
    </row>
    <row r="2">
      <c r="A2" s="9" t="inlineStr">
        <is>
          <t>A. 방법론별 적정가 레인지</t>
        </is>
      </c>
    </row>
    <row r="3">
      <c r="A3" s="10" t="inlineStr">
        <is>
          <t>방법론</t>
        </is>
      </c>
      <c r="B3" s="10" t="inlineStr">
        <is>
          <t>보수적</t>
        </is>
      </c>
      <c r="C3" s="10" t="inlineStr">
        <is>
          <t>기본</t>
        </is>
      </c>
      <c r="D3" s="10" t="inlineStr">
        <is>
          <t>적극적</t>
        </is>
      </c>
      <c r="E3" s="10" t="inlineStr">
        <is>
          <t>산출 근거</t>
        </is>
      </c>
    </row>
    <row r="4">
      <c r="A4" s="43" t="inlineStr">
        <is>
          <t>PER 방식</t>
        </is>
      </c>
      <c r="B4" s="59" t="inlineStr">
        <is>
          <t>21,737원</t>
        </is>
      </c>
      <c r="C4" s="48" t="inlineStr">
        <is>
          <t>39,948원</t>
        </is>
      </c>
      <c r="D4" s="55" t="inlineStr">
        <is>
          <t>47,937원</t>
        </is>
      </c>
      <c r="E4" s="34" t="inlineStr">
        <is>
          <t>EPS×목표PER</t>
        </is>
      </c>
    </row>
    <row r="5">
      <c r="A5" s="43" t="inlineStr">
        <is>
          <t>PBR 방식</t>
        </is>
      </c>
      <c r="B5" s="59" t="inlineStr">
        <is>
          <t>20,704원</t>
        </is>
      </c>
      <c r="C5" s="48" t="inlineStr">
        <is>
          <t>31,057원</t>
        </is>
      </c>
      <c r="D5" s="55" t="inlineStr">
        <is>
          <t>41,409원</t>
        </is>
      </c>
      <c r="E5" s="34" t="inlineStr">
        <is>
          <t>BPS×목표PBR</t>
        </is>
      </c>
    </row>
    <row r="6">
      <c r="A6" s="43" t="inlineStr">
        <is>
          <t>EV/EBITDA</t>
        </is>
      </c>
      <c r="B6" s="59" t="inlineStr">
        <is>
          <t>29,759원</t>
        </is>
      </c>
      <c r="C6" s="48" t="inlineStr">
        <is>
          <t>39,860원</t>
        </is>
      </c>
      <c r="D6" s="55" t="inlineStr">
        <is>
          <t>49,961원</t>
        </is>
      </c>
      <c r="E6" s="34" t="inlineStr">
        <is>
          <t>EBITDA×배수</t>
        </is>
      </c>
    </row>
    <row r="7">
      <c r="A7" s="43" t="inlineStr">
        <is>
          <t>RIM</t>
        </is>
      </c>
      <c r="B7" s="59" t="inlineStr">
        <is>
          <t>20,704원</t>
        </is>
      </c>
      <c r="C7" s="48" t="inlineStr">
        <is>
          <t>25,880원</t>
        </is>
      </c>
      <c r="D7" s="55" t="inlineStr">
        <is>
          <t>33,645원</t>
        </is>
      </c>
      <c r="E7" s="34" t="inlineStr">
        <is>
          <t>ROE기반</t>
        </is>
      </c>
    </row>
    <row r="8">
      <c r="A8" s="43" t="inlineStr">
        <is>
          <t>FCF기반</t>
        </is>
      </c>
      <c r="B8" s="59" t="inlineStr">
        <is>
          <t>20,437원</t>
        </is>
      </c>
      <c r="C8" s="48" t="inlineStr">
        <is>
          <t>25,547원</t>
        </is>
      </c>
      <c r="D8" s="55" t="inlineStr">
        <is>
          <t>35,766원</t>
        </is>
      </c>
      <c r="E8" s="34" t="inlineStr">
        <is>
          <t>FCF×배수</t>
        </is>
      </c>
    </row>
    <row r="10">
      <c r="A10" s="9" t="inlineStr">
        <is>
          <t>B. 종합 시나리오</t>
        </is>
      </c>
    </row>
    <row r="11">
      <c r="A11" s="60" t="inlineStr">
        <is>
          <t>시나리오</t>
        </is>
      </c>
      <c r="B11" s="60" t="inlineStr">
        <is>
          <t>목표주가</t>
        </is>
      </c>
      <c r="C11" s="60" t="inlineStr">
        <is>
          <t>현재가 대비</t>
        </is>
      </c>
      <c r="D11" s="60" t="inlineStr">
        <is>
          <t>전제조건</t>
        </is>
      </c>
      <c r="E11" s="60" t="inlineStr">
        <is>
          <t>확률(주관)</t>
        </is>
      </c>
    </row>
    <row r="12">
      <c r="A12" s="53" t="inlineStr">
        <is>
          <t>강세(Bull)</t>
        </is>
      </c>
      <c r="B12" s="61" t="inlineStr">
        <is>
          <t>55,128원</t>
        </is>
      </c>
      <c r="C12" s="47" t="inlineStr">
        <is>
          <t>+96.2%</t>
        </is>
      </c>
      <c r="D12" s="62" t="inlineStr">
        <is>
          <t>갤럭시 업사이클+전장35%+PER리레이팅</t>
        </is>
      </c>
      <c r="E12" s="20" t="inlineStr">
        <is>
          <t>20%</t>
        </is>
      </c>
    </row>
    <row r="13">
      <c r="A13" s="17" t="inlineStr">
        <is>
          <t>기본(Base)</t>
        </is>
      </c>
      <c r="B13" s="63" t="inlineStr">
        <is>
          <t>39,948원</t>
        </is>
      </c>
      <c r="C13" s="44" t="inlineStr">
        <is>
          <t>+42.2%</t>
        </is>
      </c>
      <c r="D13" s="64" t="inlineStr">
        <is>
          <t>모바일유지+전장10%성장+배당확대</t>
        </is>
      </c>
      <c r="E13" s="65" t="inlineStr">
        <is>
          <t>50%</t>
        </is>
      </c>
    </row>
    <row r="14">
      <c r="A14" s="66" t="inlineStr">
        <is>
          <t>약세(Bear)</t>
        </is>
      </c>
      <c r="B14" s="67" t="inlineStr">
        <is>
          <t>18,473원</t>
        </is>
      </c>
      <c r="C14" s="58" t="inlineStr">
        <is>
          <t>-34.3%</t>
        </is>
      </c>
      <c r="D14" s="68" t="inlineStr">
        <is>
          <t>삼성부진+전장정체+마진악화</t>
        </is>
      </c>
      <c r="E14" s="69" t="inlineStr">
        <is>
          <t>30%</t>
        </is>
      </c>
    </row>
    <row r="16">
      <c r="A16" s="70" t="inlineStr">
        <is>
          <t>확률가중 기대값</t>
        </is>
      </c>
      <c r="B16" s="71" t="inlineStr">
        <is>
          <t>36,541원</t>
        </is>
      </c>
      <c r="C16" s="70" t="inlineStr">
        <is>
          <t>+30.0%</t>
        </is>
      </c>
      <c r="D16" s="72" t="inlineStr">
        <is>
          <t>Bull×20%+Base×50%+Bear×30%</t>
        </is>
      </c>
      <c r="E16" s="70" t="inlineStr"/>
    </row>
    <row r="19">
      <c r="A19" s="9" t="inlineStr">
        <is>
          <t>C. SWOT 분석</t>
        </is>
      </c>
    </row>
    <row r="20">
      <c r="A20" s="73" t="inlineStr">
        <is>
          <t>강점 (S)</t>
        </is>
      </c>
      <c r="C20" s="74" t="inlineStr">
        <is>
          <t>약점 (W)</t>
        </is>
      </c>
    </row>
    <row r="21">
      <c r="A21" s="62" t="inlineStr">
        <is>
          <t>• 삼성/현대차 핵심 공급사</t>
        </is>
      </c>
      <c r="C21" s="68" t="inlineStr">
        <is>
          <t>• 삼성전자 매출편중 70%+</t>
        </is>
      </c>
    </row>
    <row r="22">
      <c r="A22" s="62" t="inlineStr">
        <is>
          <t>• 베트남 3공장 원가경쟁력</t>
        </is>
      </c>
      <c r="C22" s="68" t="inlineStr">
        <is>
          <t>• 조립중심 저마진 3~5%</t>
        </is>
      </c>
    </row>
    <row r="23">
      <c r="A23" s="62" t="inlineStr">
        <is>
          <t>• 연구인력 57.7%, 특허24건</t>
        </is>
      </c>
      <c r="C23" s="68" t="inlineStr">
        <is>
          <t>• 자체 브랜드 부재</t>
        </is>
      </c>
    </row>
    <row r="24">
      <c r="A24" s="62" t="inlineStr">
        <is>
          <t>• 부채비율 54% 재무건전</t>
        </is>
      </c>
      <c r="C24" s="68" t="inlineStr">
        <is>
          <t>• 원재료 가격 통제력 없음</t>
        </is>
      </c>
    </row>
    <row r="25">
      <c r="A25" s="62" t="inlineStr">
        <is>
          <t>• 액츄에이터 내재화</t>
        </is>
      </c>
      <c r="C25" s="68" t="inlineStr">
        <is>
          <t>• 스마트폰 성숙기</t>
        </is>
      </c>
    </row>
    <row r="27">
      <c r="A27" s="75" t="inlineStr">
        <is>
          <t>기회 (O)</t>
        </is>
      </c>
      <c r="C27" s="76" t="inlineStr">
        <is>
          <t>위협 (T)</t>
        </is>
      </c>
    </row>
    <row r="28">
      <c r="A28" s="77" t="inlineStr">
        <is>
          <t>• ADAS 의무화→카메라수 증가</t>
        </is>
      </c>
      <c r="C28" s="78" t="inlineStr">
        <is>
          <t>• 중국 업체 추격</t>
        </is>
      </c>
    </row>
    <row r="29">
      <c r="A29" s="77" t="inlineStr">
        <is>
          <t>• 자율주행 L3/L4 본격화</t>
        </is>
      </c>
      <c r="C29" s="78" t="inlineStr">
        <is>
          <t>• 삼성 모듈 내재화 가능성</t>
        </is>
      </c>
    </row>
    <row r="30">
      <c r="A30" s="77" t="inlineStr">
        <is>
          <t>• 프리즘줌 고부가 모듈</t>
        </is>
      </c>
      <c r="C30" s="78" t="inlineStr">
        <is>
          <t>• 환율/인건비 상승</t>
        </is>
      </c>
    </row>
    <row r="31">
      <c r="A31" s="77" t="inlineStr">
        <is>
          <t>• 삼성 XR 신규 카테고리</t>
        </is>
      </c>
      <c r="C31" s="78" t="inlineStr">
        <is>
          <t>• 글로벌 경기침체</t>
        </is>
      </c>
    </row>
  </sheetData>
  <mergeCells count="26">
    <mergeCell ref="A24:B24"/>
    <mergeCell ref="A30:B30"/>
    <mergeCell ref="C24:D24"/>
    <mergeCell ref="C30:D30"/>
    <mergeCell ref="A1:E1"/>
    <mergeCell ref="C20:D20"/>
    <mergeCell ref="C29:D29"/>
    <mergeCell ref="A25:B25"/>
    <mergeCell ref="C25:D25"/>
    <mergeCell ref="C22:D22"/>
    <mergeCell ref="A27:B27"/>
    <mergeCell ref="C31:D31"/>
    <mergeCell ref="A21:B21"/>
    <mergeCell ref="C21:D21"/>
    <mergeCell ref="A2:E2"/>
    <mergeCell ref="C27:D27"/>
    <mergeCell ref="A23:B23"/>
    <mergeCell ref="C23:D23"/>
    <mergeCell ref="A22:B22"/>
    <mergeCell ref="A20:B20"/>
    <mergeCell ref="A29:B29"/>
    <mergeCell ref="A10:E10"/>
    <mergeCell ref="A19:E19"/>
    <mergeCell ref="A28:B28"/>
    <mergeCell ref="C28:D28"/>
    <mergeCell ref="A31:B3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12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D4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20" customWidth="1" min="4" max="4"/>
  </cols>
  <sheetData>
    <row r="1">
      <c r="A1" s="9" t="inlineStr">
        <is>
          <t>향후 핵심 모니터링 지표</t>
        </is>
      </c>
    </row>
    <row r="3">
      <c r="A3" s="10" t="inlineStr">
        <is>
          <t>#</t>
        </is>
      </c>
      <c r="B3" s="10" t="inlineStr">
        <is>
          <t>항목</t>
        </is>
      </c>
      <c r="C3" s="10" t="inlineStr">
        <is>
          <t>세부 내용</t>
        </is>
      </c>
      <c r="D3" s="10" t="inlineStr">
        <is>
          <t>확인 시기</t>
        </is>
      </c>
    </row>
    <row r="4" ht="45" customHeight="1">
      <c r="A4" s="79" t="inlineStr">
        <is>
          <t>1</t>
        </is>
      </c>
      <c r="B4" s="43" t="inlineStr">
        <is>
          <t>삼성 갤럭시 카메라 스펙/물량</t>
        </is>
      </c>
      <c r="C4" s="24" t="inlineStr">
        <is>
          <t>갤럭시 S/Z 카메라 화소·개수·OIS/줌 사양이 ASP와 매출 직접 결정</t>
        </is>
      </c>
      <c r="D4" s="80" t="inlineStr">
        <is>
          <t>1~2월, 7~8월</t>
        </is>
      </c>
    </row>
    <row r="5" ht="45" customHeight="1">
      <c r="A5" s="79" t="inlineStr">
        <is>
          <t>2</t>
        </is>
      </c>
      <c r="B5" s="43" t="inlineStr">
        <is>
          <t>전장(자동차) 매출 비중</t>
        </is>
      </c>
      <c r="C5" s="24" t="inlineStr">
        <is>
          <t>30~40% 넘으면 밸류에이션 리레이팅. 현대차 ADAS 채택률 확인</t>
        </is>
      </c>
      <c r="D5" s="80" t="inlineStr">
        <is>
          <t>매 분기</t>
        </is>
      </c>
    </row>
    <row r="6" ht="45" customHeight="1">
      <c r="A6" s="79" t="inlineStr">
        <is>
          <t>3</t>
        </is>
      </c>
      <c r="B6" s="43" t="inlineStr">
        <is>
          <t>분기별 영업이익률</t>
        </is>
      </c>
      <c r="C6" s="24" t="inlineStr">
        <is>
          <t>2~3%=저수익|4~5%=양호|6%+=호황. 원재료·환율·믹스가 핵심</t>
        </is>
      </c>
      <c r="D6" s="80" t="inlineStr">
        <is>
          <t>2/5/8/11월</t>
        </is>
      </c>
    </row>
    <row r="7" ht="45" customHeight="1">
      <c r="A7" s="79" t="inlineStr">
        <is>
          <t>4</t>
        </is>
      </c>
      <c r="B7" s="43" t="inlineStr">
        <is>
          <t>베트남 VINA 실적</t>
        </is>
      </c>
      <c r="C7" s="24" t="inlineStr">
        <is>
          <t>연결순이익 ~50% 창출. 가동률/수율/인건비 모니터링</t>
        </is>
      </c>
      <c r="D7" s="80" t="inlineStr">
        <is>
          <t>연간</t>
        </is>
      </c>
    </row>
    <row r="8" ht="45" customHeight="1">
      <c r="A8" s="79" t="inlineStr">
        <is>
          <t>5</t>
        </is>
      </c>
      <c r="B8" s="43" t="inlineStr">
        <is>
          <t>자기주식/배당 정책</t>
        </is>
      </c>
      <c r="C8" s="24" t="inlineStr">
        <is>
          <t>적극적 주주환원(배당증가+자사주+소각) 지속 여부</t>
        </is>
      </c>
      <c r="D8" s="80" t="inlineStr">
        <is>
          <t>3월 주총, 수시</t>
        </is>
      </c>
    </row>
    <row r="11">
      <c r="A11" s="9" t="inlineStr">
        <is>
          <t>모니터링 캘린더</t>
        </is>
      </c>
    </row>
    <row r="12">
      <c r="A12" s="10" t="inlineStr">
        <is>
          <t>시기</t>
        </is>
      </c>
      <c r="B12" s="10" t="inlineStr">
        <is>
          <t>이벤트</t>
        </is>
      </c>
      <c r="C12" s="10" t="inlineStr">
        <is>
          <t>중요도</t>
        </is>
      </c>
    </row>
    <row r="13">
      <c r="A13" s="35" t="inlineStr">
        <is>
          <t>1~2월</t>
        </is>
      </c>
      <c r="B13" s="24" t="inlineStr">
        <is>
          <t>갤럭시S 언팩 (카메라사양)</t>
        </is>
      </c>
      <c r="C13" s="17" t="inlineStr">
        <is>
          <t>★★★</t>
        </is>
      </c>
    </row>
    <row r="14">
      <c r="A14" s="35" t="inlineStr">
        <is>
          <t>2월</t>
        </is>
      </c>
      <c r="B14" s="24" t="inlineStr">
        <is>
          <t>4Q+연간 잠정실적</t>
        </is>
      </c>
      <c r="C14" s="17" t="inlineStr">
        <is>
          <t>★★★</t>
        </is>
      </c>
    </row>
    <row r="15">
      <c r="A15" s="35" t="inlineStr">
        <is>
          <t>3월</t>
        </is>
      </c>
      <c r="B15" s="24" t="inlineStr">
        <is>
          <t>사업보고서/주총/배당정책</t>
        </is>
      </c>
      <c r="C15" s="17" t="inlineStr">
        <is>
          <t>★★★</t>
        </is>
      </c>
    </row>
    <row r="16">
      <c r="A16" s="35" t="inlineStr">
        <is>
          <t>5월</t>
        </is>
      </c>
      <c r="B16" s="24" t="inlineStr">
        <is>
          <t>1Q 잠정실적</t>
        </is>
      </c>
      <c r="C16" s="17" t="inlineStr">
        <is>
          <t>★★☆</t>
        </is>
      </c>
    </row>
    <row r="17">
      <c r="A17" s="35" t="inlineStr">
        <is>
          <t>7~8월</t>
        </is>
      </c>
      <c r="B17" s="24" t="inlineStr">
        <is>
          <t>갤럭시Z 언팩+2Q실적</t>
        </is>
      </c>
      <c r="C17" s="17" t="inlineStr">
        <is>
          <t>★★★</t>
        </is>
      </c>
    </row>
    <row r="18">
      <c r="A18" s="35" t="inlineStr">
        <is>
          <t>11월</t>
        </is>
      </c>
      <c r="B18" s="24" t="inlineStr">
        <is>
          <t>3Q 잠정실적</t>
        </is>
      </c>
      <c r="C18" s="17" t="inlineStr">
        <is>
          <t>★★☆</t>
        </is>
      </c>
    </row>
    <row r="19">
      <c r="A19" s="35" t="inlineStr">
        <is>
          <t>12월</t>
        </is>
      </c>
      <c r="B19" s="24" t="inlineStr">
        <is>
          <t>결산배당 결정</t>
        </is>
      </c>
      <c r="C19" s="17" t="inlineStr">
        <is>
          <t>★★☆</t>
        </is>
      </c>
    </row>
    <row r="20">
      <c r="A20" s="35" t="inlineStr">
        <is>
          <t>수시</t>
        </is>
      </c>
      <c r="B20" s="24" t="inlineStr">
        <is>
          <t>자기주식 취득/소각</t>
        </is>
      </c>
      <c r="C20" s="17" t="inlineStr">
        <is>
          <t>★☆☆</t>
        </is>
      </c>
    </row>
    <row r="21">
      <c r="A21" s="35" t="inlineStr">
        <is>
          <t>수시</t>
        </is>
      </c>
      <c r="B21" s="24" t="inlineStr">
        <is>
          <t>ADAS 로드맵</t>
        </is>
      </c>
      <c r="C21" s="17" t="inlineStr">
        <is>
          <t>★★☆</t>
        </is>
      </c>
    </row>
    <row r="24">
      <c r="A24" s="9" t="inlineStr">
        <is>
          <t>주요 이벤트 히스토리</t>
        </is>
      </c>
    </row>
    <row r="25">
      <c r="A25" s="10" t="inlineStr">
        <is>
          <t>일자</t>
        </is>
      </c>
      <c r="B25" s="10" t="inlineStr">
        <is>
          <t>유형</t>
        </is>
      </c>
      <c r="C25" s="10" t="inlineStr">
        <is>
          <t>내용</t>
        </is>
      </c>
    </row>
    <row r="26">
      <c r="A26" s="16" t="inlineStr">
        <is>
          <t>20251208</t>
        </is>
      </c>
      <c r="B26" s="33" t="inlineStr">
        <is>
          <t>배당결정</t>
        </is>
      </c>
      <c r="C26" s="24" t="inlineStr">
        <is>
          <t>현금ㆍ현물배당 결정 1. 배당구분 결산배당 2. 배당종류 현금배당 - 현물자산의 상세내역 - 3. 1주당 배당금(원) 보통주식</t>
        </is>
      </c>
    </row>
    <row r="27">
      <c r="A27" s="16" t="inlineStr">
        <is>
          <t>20251120</t>
        </is>
      </c>
      <c r="B27" s="33" t="inlineStr">
        <is>
          <t>대량보유</t>
        </is>
      </c>
      <c r="C27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28">
      <c r="A28" s="16" t="inlineStr">
        <is>
          <t>20251110</t>
        </is>
      </c>
      <c r="B28" s="33" t="inlineStr">
        <is>
          <t>주식소각</t>
        </is>
      </c>
      <c r="C28" s="24" t="inlineStr">
        <is>
          <t xml:space="preserve">주식 소각 결정 1. 소각할 주식의 종류와 수 보통주식 (주) 583,482 종류주식 (주) - 2. 발행주식 총수 보통주식 </t>
        </is>
      </c>
    </row>
    <row r="29">
      <c r="A29" s="16" t="inlineStr">
        <is>
          <t>20250925</t>
        </is>
      </c>
      <c r="B29" s="33" t="inlineStr">
        <is>
          <t>자기주식</t>
        </is>
      </c>
      <c r="C29" s="24" t="inlineStr">
        <is>
          <t>주요사항보고서 / 거래소 신고의무 사항 금융위원회 / 한국거래소 귀중 2025 년 09 월 25 일 회 사 명 : 주식회사 엠</t>
        </is>
      </c>
    </row>
    <row r="30">
      <c r="A30" s="16" t="inlineStr">
        <is>
          <t>20250612</t>
        </is>
      </c>
      <c r="B30" s="33" t="inlineStr">
        <is>
          <t>대량보유</t>
        </is>
      </c>
      <c r="C30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1">
      <c r="A31" s="16" t="inlineStr">
        <is>
          <t>20250509</t>
        </is>
      </c>
      <c r="B31" s="33" t="inlineStr">
        <is>
          <t>대량보유</t>
        </is>
      </c>
      <c r="C31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2">
      <c r="A32" s="16" t="inlineStr">
        <is>
          <t>20250211</t>
        </is>
      </c>
      <c r="B32" s="33" t="inlineStr">
        <is>
          <t>매출변동</t>
        </is>
      </c>
      <c r="C32" s="24" t="inlineStr">
        <is>
          <t>매출액 또는 손익구조 30%(대규모법인 15%)이상 변경 ※ 동 정보는 동사가 작성한 결산자료로서, 외부감사인의 감사결과 수치</t>
        </is>
      </c>
    </row>
    <row r="33">
      <c r="A33" s="16" t="inlineStr">
        <is>
          <t>20250120</t>
        </is>
      </c>
      <c r="B33" s="33" t="inlineStr">
        <is>
          <t>자기주식</t>
        </is>
      </c>
      <c r="C33" s="24" t="inlineStr">
        <is>
          <t>주요사항보고서 / 거래소 신고의무 사항 금융위원회 / 한국거래소 귀중 2025 년 01 월 20 일 회 사 명 : 주식회사 엠</t>
        </is>
      </c>
    </row>
    <row r="34">
      <c r="A34" s="16" t="inlineStr">
        <is>
          <t>20241216</t>
        </is>
      </c>
      <c r="B34" s="33" t="inlineStr">
        <is>
          <t>배당결정</t>
        </is>
      </c>
      <c r="C34" s="24" t="inlineStr">
        <is>
          <t>현금ㆍ현물배당 결정 1. 배당구분 결산배당 2. 배당종류 현금배당 - 현물자산의 상세내역 - 3. 1주당 배당금(원) 보통주식</t>
        </is>
      </c>
    </row>
    <row r="35">
      <c r="A35" s="16" t="inlineStr">
        <is>
          <t>20241118</t>
        </is>
      </c>
      <c r="B35" s="33" t="inlineStr">
        <is>
          <t>대량보유</t>
        </is>
      </c>
      <c r="C35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6">
      <c r="A36" s="16" t="inlineStr">
        <is>
          <t>20241104</t>
        </is>
      </c>
      <c r="B36" s="33" t="inlineStr">
        <is>
          <t>자기주식</t>
        </is>
      </c>
      <c r="C36" s="24" t="inlineStr">
        <is>
          <t>주요사항보고서 / 거래소 신고의무 사항 금융위원회 / 한국거래소 귀중 2024 년 11 월 4 일 회 사 명 : 주식회사 엠씨</t>
        </is>
      </c>
    </row>
    <row r="37">
      <c r="A37" s="16" t="inlineStr">
        <is>
          <t>20240708</t>
        </is>
      </c>
      <c r="B37" s="33" t="inlineStr">
        <is>
          <t>자기주식</t>
        </is>
      </c>
      <c r="C37" s="24" t="inlineStr">
        <is>
          <t>주요사항보고서 / 거래소 신고의무 사항 금융위원회 / 한국거래소 귀중 2024년 7월 8일 회 사 명 : 주식회사 엠씨넥스 대</t>
        </is>
      </c>
    </row>
    <row r="38">
      <c r="A38" s="16" t="inlineStr">
        <is>
          <t>20240619</t>
        </is>
      </c>
      <c r="B38" s="33" t="inlineStr">
        <is>
          <t>대량보유</t>
        </is>
      </c>
      <c r="C38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9">
      <c r="A39" s="16" t="inlineStr">
        <is>
          <t>20240527</t>
        </is>
      </c>
      <c r="B39" s="33" t="inlineStr">
        <is>
          <t>대량보유</t>
        </is>
      </c>
      <c r="C39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0">
      <c r="A40" s="16" t="inlineStr">
        <is>
          <t>20240314</t>
        </is>
      </c>
      <c r="B40" s="33" t="inlineStr">
        <is>
          <t>자기주식</t>
        </is>
      </c>
      <c r="C40" s="24" t="inlineStr">
        <is>
          <t>주요사항보고서 / 거래소 신고의무 사항 금융위원회 / 한국거래소 귀중 2024년 03월 14일 회 사 명 : 주식회사 엠씨넥스</t>
        </is>
      </c>
    </row>
    <row r="41">
      <c r="A41" s="16" t="inlineStr">
        <is>
          <t>20240223</t>
        </is>
      </c>
      <c r="B41" s="33" t="inlineStr">
        <is>
          <t>매출변동</t>
        </is>
      </c>
      <c r="C41" s="24" t="inlineStr">
        <is>
          <t>매출액 또는 손익구조 30%(대규모법인 15%)이상 변경 ※ 동 정보는 동사가 작성한 결산자료로서, 외부감사인의 감사결과 수치</t>
        </is>
      </c>
    </row>
    <row r="42">
      <c r="A42" s="16" t="inlineStr">
        <is>
          <t>20231215</t>
        </is>
      </c>
      <c r="B42" s="33" t="inlineStr">
        <is>
          <t>배당결정</t>
        </is>
      </c>
      <c r="C42" s="24" t="inlineStr">
        <is>
          <t>현금ㆍ현물배당 결정 1. 배당구분 결산배당 2. 배당종류 현금배당 - 현물자산의 상세내역 - 3. 1주당 배당금(원) 보통주식</t>
        </is>
      </c>
    </row>
    <row r="43">
      <c r="A43" s="16" t="inlineStr">
        <is>
          <t>20231017</t>
        </is>
      </c>
      <c r="B43" s="33" t="inlineStr">
        <is>
          <t>대량보유</t>
        </is>
      </c>
      <c r="C43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4">
      <c r="A44" s="16" t="inlineStr">
        <is>
          <t>20230825</t>
        </is>
      </c>
      <c r="B44" s="33" t="inlineStr">
        <is>
          <t>대량보유</t>
        </is>
      </c>
      <c r="C44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5">
      <c r="A45" s="16" t="inlineStr">
        <is>
          <t>20230704</t>
        </is>
      </c>
      <c r="B45" s="33" t="inlineStr">
        <is>
          <t>대량보유</t>
        </is>
      </c>
      <c r="C45" s="24" t="inlineStr">
        <is>
          <t xml:space="preserve">주식등의 대량보유상황보고서 (약식서식 : 자본시장과 금융투자업에 관한 법률 제147조에 의한 보고 중 '경영권에 영향을 주기 </t>
        </is>
      </c>
    </row>
  </sheetData>
  <mergeCells count="3">
    <mergeCell ref="A1:D1"/>
    <mergeCell ref="A24:D24"/>
    <mergeCell ref="A11:D11"/>
  </mergeCells>
  <printOptions horizontalCentered="1"/>
  <pageMargins left="0.25" right="0.25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2026-02-07T08:47:30Z</dcterms:created>
  <dcterms:modified xmlns:dcterms="http://purl.org/dc/terms/" xmlns:xsi="http://www.w3.org/2001/XMLSchema-instance" xsi:type="dcterms:W3CDTF">2026-02-07T08:47:30Z</dcterms:modified>
</cp:coreProperties>
</file>