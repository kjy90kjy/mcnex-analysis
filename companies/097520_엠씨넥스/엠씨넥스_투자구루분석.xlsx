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r Filters" sheetId="1" state="visible" r:id="rId1"/>
    <sheet xmlns:r="http://schemas.openxmlformats.org/officeDocument/2006/relationships" name="경제적_해자" sheetId="2" state="visible" r:id="rId2"/>
    <sheet xmlns:r="http://schemas.openxmlformats.org/officeDocument/2006/relationships" name="경영진_평가" sheetId="3" state="visible" r:id="rId3"/>
    <sheet xmlns:r="http://schemas.openxmlformats.org/officeDocument/2006/relationships" name="자본배분" sheetId="4" state="visible" r:id="rId4"/>
    <sheet xmlns:r="http://schemas.openxmlformats.org/officeDocument/2006/relationships" name="수익성_품질" sheetId="5" state="visible" r:id="rId5"/>
    <sheet xmlns:r="http://schemas.openxmlformats.org/officeDocument/2006/relationships" name="내재가치_안전마진" sheetId="6" state="visible" r:id="rId6"/>
    <sheet xmlns:r="http://schemas.openxmlformats.org/officeDocument/2006/relationships" name="투자판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24"/>
    </font>
    <font>
      <name val="맑은 고딕"/>
      <color rgb="00B0C4DE"/>
      <sz val="11"/>
    </font>
    <font>
      <name val="맑은 고딕"/>
      <b val="1"/>
      <color rgb="001B2A4A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0027AE60"/>
      <sz val="11"/>
    </font>
    <font>
      <name val="맑은 고딕"/>
      <b val="1"/>
      <color rgb="001B2A4A"/>
      <sz val="11"/>
    </font>
    <font>
      <name val="맑은 고딕"/>
      <b val="1"/>
      <color rgb="001B2A4A"/>
      <sz val="12"/>
    </font>
    <font>
      <name val="맑은 고딕"/>
      <b val="1"/>
      <color rgb="0027AE60"/>
      <sz val="14"/>
    </font>
    <font>
      <name val="맑은 고딕"/>
      <b val="1"/>
      <color rgb="001B2A4A"/>
      <sz val="10"/>
    </font>
    <font>
      <name val="맑은 고딕"/>
      <b val="1"/>
      <color rgb="00FFFFFF"/>
      <sz val="11"/>
    </font>
    <font>
      <name val="맑은 고딕"/>
      <b val="1"/>
      <color rgb="003A5BA0"/>
      <sz val="11"/>
    </font>
    <font>
      <name val="맑은 고딕"/>
      <b val="1"/>
      <color rgb="0027AE60"/>
      <sz val="10"/>
    </font>
    <font>
      <name val="맑은 고딕"/>
      <b val="1"/>
      <color rgb="00C0392B"/>
      <sz val="10"/>
    </font>
    <font>
      <name val="맑은 고딕"/>
      <color rgb="00666666"/>
      <sz val="9"/>
    </font>
    <font>
      <name val="맑은 고딕"/>
      <b val="1"/>
      <color rgb="000000FF"/>
      <sz val="10"/>
    </font>
    <font>
      <name val="맑은 고딕"/>
      <b val="1"/>
      <color rgb="008E44AD"/>
      <sz val="10"/>
    </font>
    <font>
      <name val="맑은 고딕"/>
      <b val="1"/>
      <color rgb="00FFFFFF"/>
      <sz val="22"/>
    </font>
    <font>
      <name val="맑은 고딕"/>
      <b val="1"/>
      <color rgb="0027AE60"/>
      <sz val="20"/>
    </font>
    <font>
      <name val="맑은 고딕"/>
      <color rgb="00C0392B"/>
      <sz val="10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FFFFFF"/>
      </patternFill>
    </fill>
    <fill>
      <patternFill patternType="solid">
        <fgColor rgb="00EBF1F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F8D7DA"/>
      </patternFill>
    </fill>
    <fill>
      <patternFill patternType="solid">
        <fgColor rgb="00D6E4F0"/>
      </patternFill>
    </fill>
    <fill>
      <patternFill patternType="solid">
        <fgColor rgb="00D6EAF8"/>
      </patternFill>
    </fill>
    <fill>
      <patternFill patternType="solid">
        <fgColor rgb="002980B9"/>
      </patternFill>
    </fill>
    <fill>
      <patternFill patternType="solid">
        <fgColor rgb="007F8C8D"/>
      </patternFill>
    </fill>
    <fill>
      <patternFill patternType="solid">
        <fgColor rgb="00E5E7E9"/>
      </patternFill>
    </fill>
    <fill>
      <patternFill patternType="solid">
        <fgColor rgb="00FDE8E8"/>
      </patternFill>
    </fill>
  </fills>
  <borders count="3">
    <border>
      <left/>
      <right/>
      <top/>
      <bottom/>
      <diagonal/>
    </border>
    <border>
      <bottom style="medium">
        <color rgb="001B2A4A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top" wrapText="1"/>
    </xf>
    <xf numFmtId="0" fontId="12" fillId="8" borderId="0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left" vertical="center" wrapText="1"/>
    </xf>
    <xf numFmtId="0" fontId="13" fillId="5" borderId="2" pivotButton="0" quotePrefix="0" xfId="0"/>
    <xf numFmtId="0" fontId="5" fillId="4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3" fontId="5" fillId="4" borderId="2" applyAlignment="1" pivotButton="0" quotePrefix="0" xfId="0">
      <alignment horizontal="right" vertical="center"/>
    </xf>
    <xf numFmtId="0" fontId="16" fillId="4" borderId="2" applyAlignment="1" pivotButton="0" quotePrefix="0" xfId="0">
      <alignment horizontal="left" vertical="center" wrapText="1"/>
    </xf>
    <xf numFmtId="0" fontId="1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right" vertical="center"/>
    </xf>
    <xf numFmtId="0" fontId="6" fillId="12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16" fillId="0" borderId="0" pivotButton="0" quotePrefix="0" xfId="0"/>
    <xf numFmtId="0" fontId="5" fillId="0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17" fillId="7" borderId="2" applyAlignment="1" pivotButton="0" quotePrefix="0" xfId="0">
      <alignment horizontal="right" vertical="center"/>
    </xf>
    <xf numFmtId="0" fontId="17" fillId="1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right" vertical="center"/>
    </xf>
    <xf numFmtId="0" fontId="14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right" vertical="center"/>
    </xf>
    <xf numFmtId="0" fontId="18" fillId="6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8" fillId="7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3" fontId="17" fillId="7" borderId="2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3" fontId="15" fillId="4" borderId="2" applyAlignment="1" pivotButton="0" quotePrefix="0" xfId="0">
      <alignment horizontal="right" vertical="center"/>
    </xf>
    <xf numFmtId="3" fontId="14" fillId="4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right" vertical="center"/>
    </xf>
    <xf numFmtId="0" fontId="6" fillId="10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2" fillId="13" borderId="0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0" fontId="5" fillId="15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21" fillId="16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I5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2" t="inlineStr">
        <is>
          <t>엠씨넥스(MCNEX) 투자 구루 분석</t>
        </is>
      </c>
      <c r="I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3" t="inlineStr">
        <is>
          <t>Four Filters 종합 대시보드  |  현재가 28,100원  |  2026.02.06 기준</t>
        </is>
      </c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7">
      <c r="A7" s="4" t="inlineStr">
        <is>
          <t>A. Four Filters 스코어카드 (100점 만점)</t>
        </is>
      </c>
    </row>
    <row r="8">
      <c r="A8" s="5" t="inlineStr"/>
      <c r="B8" s="5" t="inlineStr">
        <is>
          <t>필터</t>
        </is>
      </c>
      <c r="C8" s="5" t="inlineStr">
        <is>
          <t>소항목1</t>
        </is>
      </c>
      <c r="D8" s="5" t="inlineStr">
        <is>
          <t>소항목2</t>
        </is>
      </c>
      <c r="E8" s="5" t="inlineStr">
        <is>
          <t>소항목3</t>
        </is>
      </c>
      <c r="F8" s="5" t="inlineStr">
        <is>
          <t>소항목4</t>
        </is>
      </c>
      <c r="G8" s="5" t="inlineStr">
        <is>
          <t>소항목5</t>
        </is>
      </c>
      <c r="H8" s="5" t="inlineStr">
        <is>
          <t>소계</t>
        </is>
      </c>
    </row>
    <row r="9">
      <c r="A9" s="6" t="inlineStr"/>
      <c r="B9" s="7" t="inlineStr">
        <is>
          <t>F1: 사업 이해도</t>
        </is>
      </c>
      <c r="C9" s="6" t="n">
        <v>4</v>
      </c>
      <c r="D9" s="6" t="n">
        <v>4</v>
      </c>
      <c r="E9" s="6" t="n">
        <v>5</v>
      </c>
      <c r="F9" s="6" t="n">
        <v>4</v>
      </c>
      <c r="G9" s="6" t="n">
        <v>4</v>
      </c>
      <c r="H9" s="8" t="inlineStr">
        <is>
          <t>21/25</t>
        </is>
      </c>
    </row>
    <row r="10">
      <c r="A10" s="6" t="inlineStr"/>
      <c r="B10" s="7" t="inlineStr">
        <is>
          <t>F2: 경제적 해자</t>
        </is>
      </c>
      <c r="C10" s="6" t="n">
        <v>5</v>
      </c>
      <c r="D10" s="6" t="n">
        <v>3</v>
      </c>
      <c r="E10" s="6" t="n">
        <v>4</v>
      </c>
      <c r="F10" s="6" t="n">
        <v>3</v>
      </c>
      <c r="G10" s="6" t="n">
        <v>3</v>
      </c>
      <c r="H10" s="9" t="inlineStr">
        <is>
          <t>18/25</t>
        </is>
      </c>
    </row>
    <row r="11">
      <c r="A11" s="6" t="inlineStr"/>
      <c r="B11" s="7" t="inlineStr">
        <is>
          <t>F3: 경영진 품질</t>
        </is>
      </c>
      <c r="C11" s="6" t="n">
        <v>4</v>
      </c>
      <c r="D11" s="6" t="n">
        <v>4</v>
      </c>
      <c r="E11" s="6" t="n">
        <v>5</v>
      </c>
      <c r="F11" s="6" t="n">
        <v>4</v>
      </c>
      <c r="G11" s="6" t="n">
        <v>3</v>
      </c>
      <c r="H11" s="8" t="inlineStr">
        <is>
          <t>20/25</t>
        </is>
      </c>
    </row>
    <row r="12">
      <c r="A12" s="6" t="inlineStr"/>
      <c r="B12" s="7" t="inlineStr">
        <is>
          <t>F4: 안전마진</t>
        </is>
      </c>
      <c r="C12" s="6" t="n">
        <v>4</v>
      </c>
      <c r="D12" s="6" t="n">
        <v>3</v>
      </c>
      <c r="E12" s="6" t="n">
        <v>4</v>
      </c>
      <c r="F12" s="6" t="n">
        <v>4</v>
      </c>
      <c r="G12" s="6" t="n">
        <v>4</v>
      </c>
      <c r="H12" s="9" t="inlineStr">
        <is>
          <t>19/25</t>
        </is>
      </c>
    </row>
    <row r="14">
      <c r="B14" s="10" t="inlineStr">
        <is>
          <t>종합점수</t>
        </is>
      </c>
      <c r="F14" s="11" t="inlineStr">
        <is>
          <t>78/100 (등급: B)</t>
        </is>
      </c>
    </row>
    <row r="16">
      <c r="A16" s="4" t="inlineStr">
        <is>
          <t>B. 투자 테제</t>
        </is>
      </c>
    </row>
    <row r="17">
      <c r="B17" s="12" t="inlineStr">
        <is>
          <t>엠씨넥스는 삼성전자 CCM 핵심 공급사+현대모비스 전장 카메라 성장이라는 이중 성장축을 가진 기술 부품기업으로, 오너경영진의 적극적 주주환원(배당인상+자사주소각)이 확인되며, 현재 PER 7.0배(T4Q)는 한국 부품업 평균 대비 저평가 영역. FCF 수익률 9.1%로 현금창출력 대비 매력적.</t>
        </is>
      </c>
    </row>
    <row r="18"/>
    <row r="20">
      <c r="A20" s="4" t="inlineStr">
        <is>
          <t>C. 핵심 강점 vs 리스크</t>
        </is>
      </c>
    </row>
    <row r="21">
      <c r="B21" s="13" t="inlineStr">
        <is>
          <t>핵심 강점 (3)</t>
        </is>
      </c>
      <c r="E21" s="14" t="inlineStr">
        <is>
          <t>핵심 리스크 (3)</t>
        </is>
      </c>
    </row>
    <row r="22">
      <c r="B22" s="15" t="inlineStr">
        <is>
          <t xml:space="preserve">  1. 삼성·현대 핵심 공급사 지위 (전환비용 해자)</t>
        </is>
      </c>
      <c r="E22" s="16" t="inlineStr">
        <is>
          <t xml:space="preserve">  1. 삼성전자 매출 편중 ~70% (단일 고객 리스크)</t>
        </is>
      </c>
    </row>
    <row r="23">
      <c r="B23" s="15" t="inlineStr">
        <is>
          <t xml:space="preserve">  2. 적극적 주주환원: 배당인상+자사주매입/소각</t>
        </is>
      </c>
      <c r="E23" s="16" t="inlineStr">
        <is>
          <t xml:space="preserve">  2. 조립 중심 저마진(OPM 3~5%) 사업 구조</t>
        </is>
      </c>
    </row>
    <row r="24">
      <c r="B24" s="15" t="inlineStr">
        <is>
          <t xml:space="preserve">  3. 전장(자동차) 카메라 비중 확대 → 밸류에이션 리레이팅 잠재력</t>
        </is>
      </c>
      <c r="E24" s="16" t="inlineStr">
        <is>
          <t xml:space="preserve">  3. 중국 업체 추격 + 삼성 모듈 내재화 가능성</t>
        </is>
      </c>
    </row>
    <row r="26">
      <c r="A26" s="4" t="inlineStr">
        <is>
          <t>D. 필터별 소항목 상세</t>
        </is>
      </c>
    </row>
    <row r="27">
      <c r="A27" s="5" t="inlineStr"/>
      <c r="B27" s="5" t="inlineStr">
        <is>
          <t>항목</t>
        </is>
      </c>
      <c r="C27" s="5" t="inlineStr">
        <is>
          <t>평가 근거</t>
        </is>
      </c>
      <c r="D27" s="5" t="inlineStr">
        <is>
          <t>판정</t>
        </is>
      </c>
      <c r="E27" s="5" t="inlineStr">
        <is>
          <t>점수</t>
        </is>
      </c>
      <c r="F27" s="5" t="inlineStr"/>
      <c r="G27" s="5" t="inlineStr"/>
      <c r="H27" s="5" t="inlineStr"/>
    </row>
    <row r="28">
      <c r="A28" s="17" t="inlineStr">
        <is>
          <t>Filter 1: 사업 이해도</t>
        </is>
      </c>
    </row>
    <row r="29">
      <c r="A29" s="6" t="inlineStr"/>
      <c r="B29" s="7" t="inlineStr">
        <is>
          <t>사업모델 단순성</t>
        </is>
      </c>
      <c r="C29" s="18" t="inlineStr">
        <is>
          <t>CCM+전장 카메라, 2개 사업부</t>
        </is>
      </c>
      <c r="D29" s="19" t="inlineStr">
        <is>
          <t>높음</t>
        </is>
      </c>
      <c r="E29" s="19" t="inlineStr">
        <is>
          <t>4/5</t>
        </is>
      </c>
      <c r="F29" s="6" t="inlineStr"/>
      <c r="G29" s="6" t="inlineStr"/>
      <c r="H29" s="6" t="inlineStr"/>
    </row>
    <row r="30">
      <c r="A30" s="6" t="inlineStr"/>
      <c r="B30" s="7" t="inlineStr">
        <is>
          <t>매출구조 명확성</t>
        </is>
      </c>
      <c r="C30" s="18" t="inlineStr">
        <is>
          <t>모바일70%+전장25%+기타5%</t>
        </is>
      </c>
      <c r="D30" s="19" t="inlineStr">
        <is>
          <t>높음</t>
        </is>
      </c>
      <c r="E30" s="19" t="inlineStr">
        <is>
          <t>4/5</t>
        </is>
      </c>
      <c r="F30" s="6" t="inlineStr"/>
      <c r="G30" s="6" t="inlineStr"/>
      <c r="H30" s="6" t="inlineStr"/>
    </row>
    <row r="31">
      <c r="A31" s="6" t="inlineStr"/>
      <c r="B31" s="7" t="inlineStr">
        <is>
          <t>10년 일관성</t>
        </is>
      </c>
      <c r="C31" s="18" t="inlineStr">
        <is>
          <t>2004년 설립 이래 카메라모듈 일관</t>
        </is>
      </c>
      <c r="D31" s="19" t="inlineStr">
        <is>
          <t>높음</t>
        </is>
      </c>
      <c r="E31" s="19" t="inlineStr">
        <is>
          <t>5/5</t>
        </is>
      </c>
      <c r="F31" s="6" t="inlineStr"/>
      <c r="G31" s="6" t="inlineStr"/>
      <c r="H31" s="6" t="inlineStr"/>
    </row>
    <row r="32">
      <c r="A32" s="6" t="inlineStr"/>
      <c r="B32" s="7" t="inlineStr">
        <is>
          <t>기술변화 예측성</t>
        </is>
      </c>
      <c r="C32" s="18" t="inlineStr">
        <is>
          <t>카메라 고화소·다안화 트렌드 명확</t>
        </is>
      </c>
      <c r="D32" s="19" t="inlineStr">
        <is>
          <t>보통</t>
        </is>
      </c>
      <c r="E32" s="19" t="inlineStr">
        <is>
          <t>4/5</t>
        </is>
      </c>
      <c r="F32" s="6" t="inlineStr"/>
      <c r="G32" s="6" t="inlineStr"/>
      <c r="H32" s="6" t="inlineStr"/>
    </row>
    <row r="33">
      <c r="A33" s="6" t="inlineStr"/>
      <c r="B33" s="7" t="inlineStr">
        <is>
          <t>해외법인 이해도</t>
        </is>
      </c>
      <c r="C33" s="18" t="inlineStr">
        <is>
          <t>베트남VINA 3공장, 연결의 핵심</t>
        </is>
      </c>
      <c r="D33" s="19" t="inlineStr">
        <is>
          <t>높음</t>
        </is>
      </c>
      <c r="E33" s="19" t="inlineStr">
        <is>
          <t>4/5</t>
        </is>
      </c>
      <c r="F33" s="6" t="inlineStr"/>
      <c r="G33" s="6" t="inlineStr"/>
      <c r="H33" s="6" t="inlineStr"/>
    </row>
    <row r="34">
      <c r="A34" s="17" t="inlineStr">
        <is>
          <t>Filter 2: 경제적 해자</t>
        </is>
      </c>
    </row>
    <row r="35">
      <c r="A35" s="6" t="inlineStr"/>
      <c r="B35" s="7" t="inlineStr">
        <is>
          <t>전환비용</t>
        </is>
      </c>
      <c r="C35" s="18" t="inlineStr">
        <is>
          <t>삼성/현대 인증 2~3년, 공급사 교체 어려움</t>
        </is>
      </c>
      <c r="D35" s="19" t="inlineStr">
        <is>
          <t>강함</t>
        </is>
      </c>
      <c r="E35" s="19" t="inlineStr">
        <is>
          <t>5/5</t>
        </is>
      </c>
      <c r="F35" s="6" t="inlineStr"/>
      <c r="G35" s="6" t="inlineStr"/>
      <c r="H35" s="6" t="inlineStr"/>
    </row>
    <row r="36">
      <c r="A36" s="6" t="inlineStr"/>
      <c r="B36" s="7" t="inlineStr">
        <is>
          <t>비용우위</t>
        </is>
      </c>
      <c r="C36" s="18" t="inlineStr">
        <is>
          <t>베트남 3공장, 원가경쟁력</t>
        </is>
      </c>
      <c r="D36" s="6" t="inlineStr">
        <is>
          <t>보통</t>
        </is>
      </c>
      <c r="E36" s="6" t="inlineStr">
        <is>
          <t>3/5</t>
        </is>
      </c>
      <c r="F36" s="6" t="inlineStr"/>
      <c r="G36" s="6" t="inlineStr"/>
      <c r="H36" s="6" t="inlineStr"/>
    </row>
    <row r="37">
      <c r="A37" s="6" t="inlineStr"/>
      <c r="B37" s="7" t="inlineStr">
        <is>
          <t>무형자산(기술)</t>
        </is>
      </c>
      <c r="C37" s="18" t="inlineStr">
        <is>
          <t>특허24건, R&amp;D인력57.7%, 액츄에이터 내재화</t>
        </is>
      </c>
      <c r="D37" s="19" t="inlineStr">
        <is>
          <t>보통</t>
        </is>
      </c>
      <c r="E37" s="19" t="inlineStr">
        <is>
          <t>4/5</t>
        </is>
      </c>
      <c r="F37" s="6" t="inlineStr"/>
      <c r="G37" s="6" t="inlineStr"/>
      <c r="H37" s="6" t="inlineStr"/>
    </row>
    <row r="38">
      <c r="A38" s="6" t="inlineStr"/>
      <c r="B38" s="7" t="inlineStr">
        <is>
          <t>규모의 경제</t>
        </is>
      </c>
      <c r="C38" s="18" t="inlineStr">
        <is>
          <t>국내 CCM 1~2위, 전장 카메라 성장</t>
        </is>
      </c>
      <c r="D38" s="6" t="inlineStr">
        <is>
          <t>보통</t>
        </is>
      </c>
      <c r="E38" s="6" t="inlineStr">
        <is>
          <t>3/5</t>
        </is>
      </c>
      <c r="F38" s="6" t="inlineStr"/>
      <c r="G38" s="6" t="inlineStr"/>
      <c r="H38" s="6" t="inlineStr"/>
    </row>
    <row r="39">
      <c r="A39" s="6" t="inlineStr"/>
      <c r="B39" s="7" t="inlineStr">
        <is>
          <t>수익성 지속성</t>
        </is>
      </c>
      <c r="C39" s="18" t="inlineStr">
        <is>
          <t>GPM 10.8%, OPM 4.2% (부품업 평균 수준)</t>
        </is>
      </c>
      <c r="D39" s="6" t="inlineStr">
        <is>
          <t>보통</t>
        </is>
      </c>
      <c r="E39" s="6" t="inlineStr">
        <is>
          <t>3/5</t>
        </is>
      </c>
      <c r="F39" s="6" t="inlineStr"/>
      <c r="G39" s="6" t="inlineStr"/>
      <c r="H39" s="6" t="inlineStr"/>
    </row>
    <row r="40">
      <c r="A40" s="17" t="inlineStr">
        <is>
          <t>Filter 3: 경영진 품질</t>
        </is>
      </c>
    </row>
    <row r="41">
      <c r="A41" s="6" t="inlineStr"/>
      <c r="B41" s="7" t="inlineStr">
        <is>
          <t>오너 지분율</t>
        </is>
      </c>
      <c r="C41" s="18" t="inlineStr">
        <is>
          <t>민동욱 25.93% - 적정 수준</t>
        </is>
      </c>
      <c r="D41" s="19" t="inlineStr">
        <is>
          <t>양호</t>
        </is>
      </c>
      <c r="E41" s="19" t="inlineStr">
        <is>
          <t>4/5</t>
        </is>
      </c>
      <c r="F41" s="6" t="inlineStr"/>
      <c r="G41" s="6" t="inlineStr"/>
      <c r="H41" s="6" t="inlineStr"/>
    </row>
    <row r="42">
      <c r="A42" s="6" t="inlineStr"/>
      <c r="B42" s="7" t="inlineStr">
        <is>
          <t>보수 합리성</t>
        </is>
      </c>
      <c r="C42" s="18" t="inlineStr">
        <is>
          <t>연 524M원 - 과도하지 않음</t>
        </is>
      </c>
      <c r="D42" s="19" t="inlineStr">
        <is>
          <t>양호</t>
        </is>
      </c>
      <c r="E42" s="19" t="inlineStr">
        <is>
          <t>4/5</t>
        </is>
      </c>
      <c r="F42" s="6" t="inlineStr"/>
      <c r="G42" s="6" t="inlineStr"/>
      <c r="H42" s="6" t="inlineStr"/>
    </row>
    <row r="43">
      <c r="A43" s="6" t="inlineStr"/>
      <c r="B43" s="7" t="inlineStr">
        <is>
          <t>자사주 정책</t>
        </is>
      </c>
      <c r="C43" s="18" t="inlineStr">
        <is>
          <t>2024 75만주 취득, 2025 58만주 소각</t>
        </is>
      </c>
      <c r="D43" s="19" t="inlineStr">
        <is>
          <t>우수</t>
        </is>
      </c>
      <c r="E43" s="19" t="inlineStr">
        <is>
          <t>5/5</t>
        </is>
      </c>
      <c r="F43" s="6" t="inlineStr"/>
      <c r="G43" s="6" t="inlineStr"/>
      <c r="H43" s="6" t="inlineStr"/>
    </row>
    <row r="44">
      <c r="A44" s="6" t="inlineStr"/>
      <c r="B44" s="7" t="inlineStr">
        <is>
          <t>배당 인상</t>
        </is>
      </c>
      <c r="C44" s="18" t="inlineStr">
        <is>
          <t>500→600→800원, 꾸준한 인상 추세</t>
        </is>
      </c>
      <c r="D44" s="19" t="inlineStr">
        <is>
          <t>양호</t>
        </is>
      </c>
      <c r="E44" s="19" t="inlineStr">
        <is>
          <t>4/5</t>
        </is>
      </c>
      <c r="F44" s="6" t="inlineStr"/>
      <c r="G44" s="6" t="inlineStr"/>
      <c r="H44" s="6" t="inlineStr"/>
    </row>
    <row r="45">
      <c r="A45" s="6" t="inlineStr"/>
      <c r="B45" s="7" t="inlineStr">
        <is>
          <t>소통/IR</t>
        </is>
      </c>
      <c r="C45" s="18" t="inlineStr">
        <is>
          <t>정기공시 충실, 밸류업 방향 일치</t>
        </is>
      </c>
      <c r="D45" s="6" t="inlineStr">
        <is>
          <t>보통</t>
        </is>
      </c>
      <c r="E45" s="6" t="inlineStr">
        <is>
          <t>3/5</t>
        </is>
      </c>
      <c r="F45" s="6" t="inlineStr"/>
      <c r="G45" s="6" t="inlineStr"/>
      <c r="H45" s="6" t="inlineStr"/>
    </row>
    <row r="46">
      <c r="A46" s="17" t="inlineStr">
        <is>
          <t>Filter 4: 안전마진</t>
        </is>
      </c>
    </row>
    <row r="47">
      <c r="A47" s="6" t="inlineStr"/>
      <c r="B47" s="7" t="inlineStr">
        <is>
          <t>PER 수준</t>
        </is>
      </c>
      <c r="C47" s="18" t="inlineStr">
        <is>
          <t>확정 7.7배 / T4Q 7.0배 (기준 8~12배)</t>
        </is>
      </c>
      <c r="D47" s="19" t="inlineStr">
        <is>
          <t>저평가</t>
        </is>
      </c>
      <c r="E47" s="19" t="inlineStr">
        <is>
          <t>4/5</t>
        </is>
      </c>
      <c r="F47" s="6" t="inlineStr"/>
      <c r="G47" s="6" t="inlineStr"/>
      <c r="H47" s="6" t="inlineStr"/>
    </row>
    <row r="48">
      <c r="A48" s="6" t="inlineStr"/>
      <c r="B48" s="7" t="inlineStr">
        <is>
          <t>PBR 수준</t>
        </is>
      </c>
      <c r="C48" s="18" t="inlineStr">
        <is>
          <t>1.36배 (기준 0.8~1.5배)</t>
        </is>
      </c>
      <c r="D48" s="6" t="inlineStr">
        <is>
          <t>적정</t>
        </is>
      </c>
      <c r="E48" s="6" t="inlineStr">
        <is>
          <t>3/5</t>
        </is>
      </c>
      <c r="F48" s="6" t="inlineStr"/>
      <c r="G48" s="6" t="inlineStr"/>
      <c r="H48" s="6" t="inlineStr"/>
    </row>
    <row r="49">
      <c r="A49" s="6" t="inlineStr"/>
      <c r="B49" s="7" t="inlineStr">
        <is>
          <t>FCF 수익률</t>
        </is>
      </c>
      <c r="C49" s="18" t="inlineStr">
        <is>
          <t>9.1% (기준 &gt;5%)</t>
        </is>
      </c>
      <c r="D49" s="19" t="inlineStr">
        <is>
          <t>양호</t>
        </is>
      </c>
      <c r="E49" s="19" t="inlineStr">
        <is>
          <t>4/5</t>
        </is>
      </c>
      <c r="F49" s="6" t="inlineStr"/>
      <c r="G49" s="6" t="inlineStr"/>
      <c r="H49" s="6" t="inlineStr"/>
    </row>
    <row r="50">
      <c r="A50" s="6" t="inlineStr"/>
      <c r="B50" s="7" t="inlineStr">
        <is>
          <t>EV/EBITDA</t>
        </is>
      </c>
      <c r="C50" s="18" t="inlineStr">
        <is>
          <t>5.7배 (기준 6~10배)</t>
        </is>
      </c>
      <c r="D50" s="19" t="inlineStr">
        <is>
          <t>저평가</t>
        </is>
      </c>
      <c r="E50" s="19" t="inlineStr">
        <is>
          <t>4/5</t>
        </is>
      </c>
      <c r="F50" s="6" t="inlineStr"/>
      <c r="G50" s="6" t="inlineStr"/>
      <c r="H50" s="6" t="inlineStr"/>
    </row>
    <row r="51">
      <c r="A51" s="6" t="inlineStr"/>
      <c r="B51" s="7" t="inlineStr">
        <is>
          <t>Owner Earnings 대비</t>
        </is>
      </c>
      <c r="C51" s="18" t="inlineStr">
        <is>
          <t>OE 735억, OE배수 6.9배</t>
        </is>
      </c>
      <c r="D51" s="19" t="inlineStr">
        <is>
          <t>양호</t>
        </is>
      </c>
      <c r="E51" s="19" t="inlineStr">
        <is>
          <t>4/5</t>
        </is>
      </c>
      <c r="F51" s="6" t="inlineStr"/>
      <c r="G51" s="6" t="inlineStr"/>
      <c r="H51" s="6" t="inlineStr"/>
    </row>
  </sheetData>
  <mergeCells count="21">
    <mergeCell ref="B23:D23"/>
    <mergeCell ref="B17:H18"/>
    <mergeCell ref="E22:H22"/>
    <mergeCell ref="A7:H7"/>
    <mergeCell ref="B4:H4"/>
    <mergeCell ref="A16:H16"/>
    <mergeCell ref="E21:H21"/>
    <mergeCell ref="A46:H46"/>
    <mergeCell ref="E24:H24"/>
    <mergeCell ref="B24:D24"/>
    <mergeCell ref="A26:H26"/>
    <mergeCell ref="E23:H23"/>
    <mergeCell ref="B2:H2"/>
    <mergeCell ref="B14:E14"/>
    <mergeCell ref="A40:H40"/>
    <mergeCell ref="A20:H20"/>
    <mergeCell ref="B22:D22"/>
    <mergeCell ref="A28:H28"/>
    <mergeCell ref="F14:G14"/>
    <mergeCell ref="B21:D21"/>
    <mergeCell ref="A34:H34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 fitToPage="1"/>
  </sheetPr>
  <dimension ref="A1:H4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경제적 해자(Economic Moat) 분석</t>
        </is>
      </c>
    </row>
    <row r="2">
      <c r="A2" s="4" t="inlineStr">
        <is>
          <t>A. 해자 유형 판정</t>
        </is>
      </c>
    </row>
    <row r="3">
      <c r="A3" s="5" t="inlineStr">
        <is>
          <t>해자 유형</t>
        </is>
      </c>
      <c r="B3" s="5" t="inlineStr">
        <is>
          <t>보유 여부</t>
        </is>
      </c>
      <c r="C3" s="5" t="inlineStr">
        <is>
          <t>강도</t>
        </is>
      </c>
      <c r="D3" s="5" t="inlineStr">
        <is>
          <t>근거</t>
        </is>
      </c>
      <c r="E3" s="5" t="inlineStr">
        <is>
          <t>지속가능성</t>
        </is>
      </c>
      <c r="F3" s="5" t="inlineStr"/>
      <c r="G3" s="5" t="inlineStr"/>
      <c r="H3" s="5" t="inlineStr"/>
    </row>
    <row r="4">
      <c r="A4" s="7" t="inlineStr">
        <is>
          <t>비용우위</t>
        </is>
      </c>
      <c r="B4" s="19" t="inlineStr">
        <is>
          <t>O</t>
        </is>
      </c>
      <c r="C4" s="19" t="inlineStr">
        <is>
          <t>보통</t>
        </is>
      </c>
      <c r="D4" s="18" t="inlineStr">
        <is>
          <t>베트남 VINA 3공장 원가경쟁력</t>
        </is>
      </c>
      <c r="E4" s="6" t="inlineStr">
        <is>
          <t>5년+</t>
        </is>
      </c>
      <c r="F4" s="6" t="inlineStr"/>
      <c r="G4" s="6" t="inlineStr"/>
      <c r="H4" s="6" t="inlineStr"/>
    </row>
    <row r="5">
      <c r="A5" s="7" t="inlineStr">
        <is>
          <t>전환비용</t>
        </is>
      </c>
      <c r="B5" s="19" t="inlineStr">
        <is>
          <t>O</t>
        </is>
      </c>
      <c r="C5" s="19" t="inlineStr">
        <is>
          <t>강함</t>
        </is>
      </c>
      <c r="D5" s="18" t="inlineStr">
        <is>
          <t>삼성/현대 인증 2~3년, 공급사 교체 비용 높음</t>
        </is>
      </c>
      <c r="E5" s="6" t="inlineStr">
        <is>
          <t>10년+</t>
        </is>
      </c>
      <c r="F5" s="6" t="inlineStr"/>
      <c r="G5" s="6" t="inlineStr"/>
      <c r="H5" s="6" t="inlineStr"/>
    </row>
    <row r="6">
      <c r="A6" s="7" t="inlineStr">
        <is>
          <t>네트워크 효과</t>
        </is>
      </c>
      <c r="B6" s="20" t="inlineStr">
        <is>
          <t>X</t>
        </is>
      </c>
      <c r="C6" s="20" t="inlineStr">
        <is>
          <t>없음</t>
        </is>
      </c>
      <c r="D6" s="18" t="inlineStr">
        <is>
          <t>B2B 사업 구조상 해당 없음</t>
        </is>
      </c>
      <c r="E6" s="6" t="inlineStr">
        <is>
          <t>-</t>
        </is>
      </c>
      <c r="F6" s="6" t="inlineStr"/>
      <c r="G6" s="6" t="inlineStr"/>
      <c r="H6" s="6" t="inlineStr"/>
    </row>
    <row r="7">
      <c r="A7" s="7" t="inlineStr">
        <is>
          <t>무형자산(기술)</t>
        </is>
      </c>
      <c r="B7" s="19" t="inlineStr">
        <is>
          <t>O</t>
        </is>
      </c>
      <c r="C7" s="19" t="inlineStr">
        <is>
          <t>보통</t>
        </is>
      </c>
      <c r="D7" s="18" t="inlineStr">
        <is>
          <t>특허 24건, R&amp;D 인력 57.7%, 액츄에이터 내재화</t>
        </is>
      </c>
      <c r="E7" s="6" t="inlineStr">
        <is>
          <t>5년+</t>
        </is>
      </c>
      <c r="F7" s="6" t="inlineStr"/>
      <c r="G7" s="6" t="inlineStr"/>
      <c r="H7" s="6" t="inlineStr"/>
    </row>
    <row r="8">
      <c r="A8" s="7" t="inlineStr">
        <is>
          <t>규모의 경제</t>
        </is>
      </c>
      <c r="B8" s="21" t="inlineStr">
        <is>
          <t>△</t>
        </is>
      </c>
      <c r="C8" s="21" t="inlineStr">
        <is>
          <t>보통</t>
        </is>
      </c>
      <c r="D8" s="18" t="inlineStr">
        <is>
          <t>국내 CCM 1~2위이나 글로벌 경쟁 치열</t>
        </is>
      </c>
      <c r="E8" s="6" t="inlineStr">
        <is>
          <t>3~5년</t>
        </is>
      </c>
      <c r="F8" s="6" t="inlineStr"/>
      <c r="G8" s="6" t="inlineStr"/>
      <c r="H8" s="6" t="inlineStr"/>
    </row>
    <row r="10">
      <c r="A10" s="4" t="inlineStr">
        <is>
          <t>B. 수익성 추이 (5년)</t>
        </is>
      </c>
    </row>
    <row r="11">
      <c r="A11" s="5" t="inlineStr">
        <is>
          <t>연도</t>
        </is>
      </c>
      <c r="B11" s="5" t="inlineStr">
        <is>
          <t>매출액(억)</t>
        </is>
      </c>
      <c r="C11" s="5" t="inlineStr">
        <is>
          <t>매출총이익(억)</t>
        </is>
      </c>
      <c r="D11" s="5" t="inlineStr">
        <is>
          <t>GPM</t>
        </is>
      </c>
      <c r="E11" s="5" t="inlineStr">
        <is>
          <t>영업이익(억)</t>
        </is>
      </c>
      <c r="F11" s="5" t="inlineStr">
        <is>
          <t>OPM</t>
        </is>
      </c>
      <c r="G11" s="5" t="inlineStr">
        <is>
          <t>ROIC</t>
        </is>
      </c>
      <c r="H11" s="5" t="inlineStr">
        <is>
          <t>비고</t>
        </is>
      </c>
    </row>
    <row r="12">
      <c r="A12" s="22" t="inlineStr">
        <is>
          <t>2020</t>
        </is>
      </c>
      <c r="B12" s="23" t="n">
        <v>13113</v>
      </c>
      <c r="C12" s="23" t="n">
        <v>1278</v>
      </c>
      <c r="D12" s="6" t="inlineStr">
        <is>
          <t>9.8%</t>
        </is>
      </c>
      <c r="E12" s="23" t="n">
        <v>591</v>
      </c>
      <c r="F12" s="6" t="inlineStr">
        <is>
          <t>4.5%</t>
        </is>
      </c>
      <c r="G12" s="6" t="inlineStr">
        <is>
          <t>18.2%</t>
        </is>
      </c>
      <c r="H12" s="24" t="inlineStr"/>
    </row>
    <row r="13">
      <c r="A13" s="22" t="inlineStr">
        <is>
          <t>2021</t>
        </is>
      </c>
      <c r="B13" s="23" t="n">
        <v>10092</v>
      </c>
      <c r="C13" s="23" t="n">
        <v>886</v>
      </c>
      <c r="D13" s="6" t="inlineStr">
        <is>
          <t>8.8%</t>
        </is>
      </c>
      <c r="E13" s="23" t="n">
        <v>238</v>
      </c>
      <c r="F13" s="25" t="inlineStr">
        <is>
          <t>2.4%</t>
        </is>
      </c>
      <c r="G13" s="6" t="inlineStr">
        <is>
          <t>6.2%</t>
        </is>
      </c>
      <c r="H13" s="24" t="inlineStr"/>
    </row>
    <row r="14">
      <c r="A14" s="22" t="inlineStr">
        <is>
          <t>2022</t>
        </is>
      </c>
      <c r="B14" s="23" t="n">
        <v>11086</v>
      </c>
      <c r="C14" s="23" t="n">
        <v>746</v>
      </c>
      <c r="D14" s="25" t="inlineStr">
        <is>
          <t>6.7%</t>
        </is>
      </c>
      <c r="E14" s="23" t="n">
        <v>107</v>
      </c>
      <c r="F14" s="25" t="inlineStr">
        <is>
          <t>1.0%</t>
        </is>
      </c>
      <c r="G14" s="6" t="inlineStr">
        <is>
          <t>2.7%</t>
        </is>
      </c>
      <c r="H14" s="24" t="inlineStr"/>
    </row>
    <row r="15">
      <c r="A15" s="22" t="inlineStr">
        <is>
          <t>2023</t>
        </is>
      </c>
      <c r="B15" s="23" t="n">
        <v>9324</v>
      </c>
      <c r="C15" s="23" t="n">
        <v>776</v>
      </c>
      <c r="D15" s="6" t="inlineStr">
        <is>
          <t>8.3%</t>
        </is>
      </c>
      <c r="E15" s="23" t="n">
        <v>182</v>
      </c>
      <c r="F15" s="25" t="inlineStr">
        <is>
          <t>2.0%</t>
        </is>
      </c>
      <c r="G15" s="6" t="inlineStr">
        <is>
          <t>4.4%</t>
        </is>
      </c>
      <c r="H15" s="24" t="inlineStr">
        <is>
          <t>매출 저점</t>
        </is>
      </c>
    </row>
    <row r="16">
      <c r="A16" s="22" t="inlineStr">
        <is>
          <t>2024</t>
        </is>
      </c>
      <c r="B16" s="23" t="n">
        <v>10570</v>
      </c>
      <c r="C16" s="23" t="n">
        <v>1138</v>
      </c>
      <c r="D16" s="6" t="inlineStr">
        <is>
          <t>10.8%</t>
        </is>
      </c>
      <c r="E16" s="23" t="n">
        <v>443</v>
      </c>
      <c r="F16" s="6" t="inlineStr">
        <is>
          <t>4.2%</t>
        </is>
      </c>
      <c r="G16" s="6" t="inlineStr">
        <is>
          <t>9.3%</t>
        </is>
      </c>
      <c r="H16" s="24" t="inlineStr">
        <is>
          <t>역대 최고 매출</t>
        </is>
      </c>
    </row>
    <row r="18">
      <c r="A18" s="4" t="inlineStr">
        <is>
          <t>C. R&amp;D 투자 및 특허</t>
        </is>
      </c>
    </row>
    <row r="19">
      <c r="A19" s="5" t="inlineStr">
        <is>
          <t>연도</t>
        </is>
      </c>
      <c r="B19" s="5" t="inlineStr">
        <is>
          <t>R&amp;D비용(억)</t>
        </is>
      </c>
      <c r="C19" s="5" t="inlineStr">
        <is>
          <t>매출대비</t>
        </is>
      </c>
      <c r="D19" s="5" t="inlineStr">
        <is>
          <t>비고</t>
        </is>
      </c>
      <c r="E19" s="5" t="inlineStr"/>
      <c r="F19" s="5" t="inlineStr"/>
      <c r="G19" s="5" t="inlineStr"/>
      <c r="H19" s="5" t="inlineStr"/>
    </row>
    <row r="20">
      <c r="A20" s="22" t="inlineStr">
        <is>
          <t>2022</t>
        </is>
      </c>
      <c r="B20" s="26" t="n">
        <v>397</v>
      </c>
      <c r="C20" s="6" t="inlineStr">
        <is>
          <t>3.58%</t>
        </is>
      </c>
      <c r="D20" s="24" t="inlineStr"/>
      <c r="E20" s="6" t="inlineStr"/>
      <c r="F20" s="6" t="inlineStr"/>
      <c r="G20" s="6" t="inlineStr"/>
      <c r="H20" s="6" t="inlineStr"/>
    </row>
    <row r="21">
      <c r="A21" s="22" t="inlineStr">
        <is>
          <t>2023</t>
        </is>
      </c>
      <c r="B21" s="26" t="n">
        <v>356</v>
      </c>
      <c r="C21" s="6" t="inlineStr">
        <is>
          <t>3.82%</t>
        </is>
      </c>
      <c r="D21" s="24" t="inlineStr"/>
      <c r="E21" s="6" t="inlineStr"/>
      <c r="F21" s="6" t="inlineStr"/>
      <c r="G21" s="6" t="inlineStr"/>
      <c r="H21" s="6" t="inlineStr"/>
    </row>
    <row r="22">
      <c r="A22" s="22" t="inlineStr">
        <is>
          <t>2024</t>
        </is>
      </c>
      <c r="B22" s="26" t="n">
        <v>327</v>
      </c>
      <c r="C22" s="6" t="inlineStr">
        <is>
          <t>3.10%</t>
        </is>
      </c>
      <c r="D22" s="24" t="inlineStr">
        <is>
          <t>연구인력 284명</t>
        </is>
      </c>
      <c r="E22" s="6" t="inlineStr"/>
      <c r="F22" s="6" t="inlineStr"/>
      <c r="G22" s="6" t="inlineStr"/>
      <c r="H22" s="6" t="inlineStr"/>
    </row>
    <row r="24">
      <c r="A24" s="27" t="inlineStr">
        <is>
          <t>특허 포트폴리오: 총 24건 — 액츄에이터, 전장카메라(AVM), 광학모듈 등</t>
        </is>
      </c>
    </row>
    <row r="25">
      <c r="A25" s="5" t="inlineStr">
        <is>
          <t>취득일</t>
        </is>
      </c>
      <c r="B25" s="5" t="inlineStr">
        <is>
          <t>특허명/내용</t>
        </is>
      </c>
      <c r="C25" s="5" t="inlineStr">
        <is>
          <t>분류</t>
        </is>
      </c>
      <c r="D25" s="5" t="inlineStr">
        <is>
          <t>활용</t>
        </is>
      </c>
      <c r="E25" s="5" t="inlineStr"/>
      <c r="F25" s="5" t="inlineStr"/>
      <c r="G25" s="5" t="inlineStr"/>
      <c r="H25" s="5" t="inlineStr"/>
    </row>
    <row r="26">
      <c r="A26" s="6" t="inlineStr">
        <is>
          <t>20120809</t>
        </is>
      </c>
      <c r="B26" s="18" t="inlineStr">
        <is>
          <t>- 본 발명은 카메라모듈내의 주요 부품인 자동초점 조절장치(Actuator)에 관한 기술임</t>
        </is>
      </c>
      <c r="C26" s="28" t="inlineStr">
        <is>
          <t>액츄에이터</t>
        </is>
      </c>
      <c r="D26" s="24" t="inlineStr"/>
      <c r="E26" s="6" t="inlineStr"/>
      <c r="F26" s="6" t="inlineStr"/>
      <c r="G26" s="6" t="inlineStr"/>
      <c r="H26" s="6" t="inlineStr"/>
    </row>
    <row r="27">
      <c r="A27" s="6" t="inlineStr">
        <is>
          <t>20120829</t>
        </is>
      </c>
      <c r="B27" s="18" t="inlineStr">
        <is>
          <t>- 본 발명은 카메라모듈내의 주요 부품인 자동초점 조절장치(Actuator)에 관한 기술임</t>
        </is>
      </c>
      <c r="C27" s="28" t="inlineStr">
        <is>
          <t>액츄에이터</t>
        </is>
      </c>
      <c r="D27" s="24" t="inlineStr"/>
      <c r="E27" s="6" t="inlineStr"/>
      <c r="F27" s="6" t="inlineStr"/>
      <c r="G27" s="6" t="inlineStr"/>
      <c r="H27" s="6" t="inlineStr"/>
    </row>
    <row r="28">
      <c r="A28" s="6" t="inlineStr">
        <is>
          <t>20121009</t>
        </is>
      </c>
      <c r="B28" s="18" t="inlineStr">
        <is>
          <t xml:space="preserve">본 발명은 카메라에 의해 전방 영역 이미지 촬영시, 실시간 예측되는 차량의 현재 위치 및 </t>
        </is>
      </c>
      <c r="C28" s="28" t="inlineStr">
        <is>
          <t>전장</t>
        </is>
      </c>
      <c r="D28" s="24" t="inlineStr"/>
      <c r="E28" s="6" t="inlineStr"/>
      <c r="F28" s="6" t="inlineStr"/>
      <c r="G28" s="6" t="inlineStr"/>
      <c r="H28" s="6" t="inlineStr"/>
    </row>
    <row r="29">
      <c r="A29" s="6" t="inlineStr">
        <is>
          <t>20121126</t>
        </is>
      </c>
      <c r="B29" s="18" t="inlineStr">
        <is>
          <t>- 본 발명은 카메라모듈의 주요 부품인 자동초점 조절장치(Actuator)에 관한 기술로써</t>
        </is>
      </c>
      <c r="C29" s="28" t="inlineStr">
        <is>
          <t>액츄에이터</t>
        </is>
      </c>
      <c r="D29" s="24" t="inlineStr"/>
      <c r="E29" s="6" t="inlineStr"/>
      <c r="F29" s="6" t="inlineStr"/>
      <c r="G29" s="6" t="inlineStr"/>
      <c r="H29" s="6" t="inlineStr"/>
    </row>
    <row r="30">
      <c r="A30" s="6" t="inlineStr">
        <is>
          <t>20130107</t>
        </is>
      </c>
      <c r="B30" s="18" t="inlineStr">
        <is>
          <t>- 본 발명은 카메라모듈 내의 주요 부품인 자동초점조절 장치(Actuator)에 관한 기술</t>
        </is>
      </c>
      <c r="C30" s="28" t="inlineStr">
        <is>
          <t>액츄에이터</t>
        </is>
      </c>
      <c r="D30" s="24" t="inlineStr"/>
      <c r="E30" s="6" t="inlineStr"/>
      <c r="F30" s="6" t="inlineStr"/>
      <c r="G30" s="6" t="inlineStr"/>
      <c r="H30" s="6" t="inlineStr"/>
    </row>
    <row r="31">
      <c r="A31" s="6" t="inlineStr">
        <is>
          <t>20130709</t>
        </is>
      </c>
      <c r="B31" s="18" t="inlineStr">
        <is>
          <t>- 본 발명은 차량 주차 안내 기술에 관한 발명으로, 차량 주차시 주차 영역간 구획선 일측</t>
        </is>
      </c>
      <c r="C31" s="28" t="inlineStr">
        <is>
          <t>전장</t>
        </is>
      </c>
      <c r="D31" s="24" t="inlineStr"/>
      <c r="E31" s="6" t="inlineStr"/>
      <c r="F31" s="6" t="inlineStr"/>
      <c r="G31" s="6" t="inlineStr"/>
      <c r="H31" s="6" t="inlineStr"/>
    </row>
    <row r="32">
      <c r="A32" s="6" t="inlineStr">
        <is>
          <t>20131024</t>
        </is>
      </c>
      <c r="B32" s="18" t="inlineStr">
        <is>
          <t xml:space="preserve">- 본 발명은 카메라모듈 제조 시 적용되는 기술로써, 카메라모듈을 소프트웨어적인 방식으로 </t>
        </is>
      </c>
      <c r="C32" s="28" t="inlineStr">
        <is>
          <t>광학/제조</t>
        </is>
      </c>
      <c r="D32" s="24" t="inlineStr"/>
      <c r="E32" s="6" t="inlineStr"/>
      <c r="F32" s="6" t="inlineStr"/>
      <c r="G32" s="6" t="inlineStr"/>
      <c r="H32" s="6" t="inlineStr"/>
    </row>
    <row r="33">
      <c r="A33" s="6" t="inlineStr">
        <is>
          <t>20140108</t>
        </is>
      </c>
      <c r="B33" s="18" t="inlineStr">
        <is>
          <t>- 본 발명은 차량 주차 안내 기술에 관한 발명으로 차량을 경사진 주차영역에서 주차시 경사</t>
        </is>
      </c>
      <c r="C33" s="28" t="inlineStr">
        <is>
          <t>전장</t>
        </is>
      </c>
      <c r="D33" s="24" t="inlineStr"/>
      <c r="E33" s="6" t="inlineStr"/>
      <c r="F33" s="6" t="inlineStr"/>
      <c r="G33" s="6" t="inlineStr"/>
      <c r="H33" s="6" t="inlineStr"/>
    </row>
    <row r="34">
      <c r="A34" s="6" t="inlineStr">
        <is>
          <t>20140515</t>
        </is>
      </c>
      <c r="B34" s="18" t="inlineStr">
        <is>
          <t>- 본 발명은 터치 패널의 포인팅 인식장치에 관한 것으로 광의 전반사와 이미지 센서를 이용</t>
        </is>
      </c>
      <c r="C34" s="28" t="inlineStr">
        <is>
          <t>기타</t>
        </is>
      </c>
      <c r="D34" s="24" t="inlineStr"/>
      <c r="E34" s="6" t="inlineStr"/>
      <c r="F34" s="6" t="inlineStr"/>
      <c r="G34" s="6" t="inlineStr"/>
      <c r="H34" s="6" t="inlineStr"/>
    </row>
    <row r="35">
      <c r="A35" s="6" t="inlineStr">
        <is>
          <t>20140521</t>
        </is>
      </c>
      <c r="B35" s="18" t="inlineStr">
        <is>
          <t xml:space="preserve">- 본 발명은 Actuator에 관한 기술로 카메라모듈 조립시 Actuator와 렌즈부를 </t>
        </is>
      </c>
      <c r="C35" s="28" t="inlineStr">
        <is>
          <t>액츄에이터</t>
        </is>
      </c>
      <c r="D35" s="24" t="inlineStr"/>
      <c r="E35" s="6" t="inlineStr"/>
      <c r="F35" s="6" t="inlineStr"/>
      <c r="G35" s="6" t="inlineStr"/>
      <c r="H35" s="6" t="inlineStr"/>
    </row>
    <row r="36">
      <c r="A36" s="6" t="inlineStr">
        <is>
          <t>20141008</t>
        </is>
      </c>
      <c r="B36" s="18" t="inlineStr">
        <is>
          <t>- 본 발명들(2건)은 차량 주차 안내 기술에 관한 발명으로, 표시 되는 영상 내에 차량이</t>
        </is>
      </c>
      <c r="C36" s="28" t="inlineStr">
        <is>
          <t>전장</t>
        </is>
      </c>
      <c r="D36" s="24" t="inlineStr"/>
      <c r="E36" s="6" t="inlineStr"/>
      <c r="F36" s="6" t="inlineStr"/>
      <c r="G36" s="6" t="inlineStr"/>
      <c r="H36" s="6" t="inlineStr"/>
    </row>
    <row r="37">
      <c r="A37" s="6" t="inlineStr">
        <is>
          <t>20141211</t>
        </is>
      </c>
      <c r="B37" s="18" t="inlineStr">
        <is>
          <t>- 본 발명은 스마트 보안장치에 관한 발명으로, 음장 변화를 통해 악의적 사용자의 침입 발</t>
        </is>
      </c>
      <c r="C37" s="28" t="inlineStr">
        <is>
          <t>기타</t>
        </is>
      </c>
      <c r="D37" s="24" t="inlineStr"/>
      <c r="E37" s="6" t="inlineStr"/>
      <c r="F37" s="6" t="inlineStr"/>
      <c r="G37" s="6" t="inlineStr"/>
      <c r="H37" s="6" t="inlineStr"/>
    </row>
    <row r="38">
      <c r="A38" s="29" t="inlineStr">
        <is>
          <t>... 외 12건</t>
        </is>
      </c>
    </row>
    <row r="40">
      <c r="A40" s="4" t="inlineStr">
        <is>
          <t>D. 해자 종합 평가</t>
        </is>
      </c>
    </row>
    <row r="41">
      <c r="A41" s="7" t="inlineStr">
        <is>
          <t>해자 폭</t>
        </is>
      </c>
      <c r="B41" s="30" t="inlineStr">
        <is>
          <t>Narrow ~ Medium (전환비용 + 기술력 기반)</t>
        </is>
      </c>
    </row>
    <row r="42">
      <c r="A42" s="7" t="inlineStr">
        <is>
          <t>해자 추세</t>
        </is>
      </c>
      <c r="B42" s="30" t="inlineStr">
        <is>
          <t>확대 중 (전장 비중 증가 → 고객 다변화)</t>
        </is>
      </c>
    </row>
    <row r="43">
      <c r="A43" s="7" t="inlineStr">
        <is>
          <t>핵심 해자</t>
        </is>
      </c>
      <c r="B43" s="30" t="inlineStr">
        <is>
          <t>삼성·현대 공급사 인증 (전환비용) + 액츄에이터 내재화 (기술)</t>
        </is>
      </c>
    </row>
    <row r="44">
      <c r="A44" s="7" t="inlineStr">
        <is>
          <t>위협 요인</t>
        </is>
      </c>
      <c r="B44" s="31" t="inlineStr">
        <is>
          <t>중국 업체 추격, 삼성 모듈 내재화 가능성</t>
        </is>
      </c>
    </row>
    <row r="45">
      <c r="A45" s="7" t="inlineStr">
        <is>
          <t>결론</t>
        </is>
      </c>
      <c r="B45" s="30" t="inlineStr">
        <is>
          <t>전환비용 기반 Narrow Moat 보유. 전장 확대 시 해자 강화 가능</t>
        </is>
      </c>
    </row>
  </sheetData>
  <mergeCells count="12">
    <mergeCell ref="A18:H18"/>
    <mergeCell ref="B42:H42"/>
    <mergeCell ref="B41:H41"/>
    <mergeCell ref="A24:H24"/>
    <mergeCell ref="A2:H2"/>
    <mergeCell ref="A38:H38"/>
    <mergeCell ref="B43:H43"/>
    <mergeCell ref="A10:H10"/>
    <mergeCell ref="B44:H44"/>
    <mergeCell ref="A1:H1"/>
    <mergeCell ref="B45:H45"/>
    <mergeCell ref="A40:H40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D4A843"/>
    <outlinePr summaryBelow="1" summaryRight="1"/>
    <pageSetUpPr fitToPage="1"/>
  </sheetPr>
  <dimension ref="A1:H4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경영진 평가 (Management Quality)</t>
        </is>
      </c>
    </row>
    <row r="2">
      <c r="A2" s="4" t="inlineStr">
        <is>
          <t>A. 등기임원 명단 (2024년 사업보고서 기준)</t>
        </is>
      </c>
    </row>
    <row r="3">
      <c r="A3" s="5" t="inlineStr">
        <is>
          <t>성명</t>
        </is>
      </c>
      <c r="B3" s="5" t="inlineStr">
        <is>
          <t>직위</t>
        </is>
      </c>
      <c r="C3" s="5" t="inlineStr">
        <is>
          <t>등기임원</t>
        </is>
      </c>
      <c r="D3" s="5" t="inlineStr">
        <is>
          <t>상근여부</t>
        </is>
      </c>
      <c r="E3" s="5" t="inlineStr"/>
      <c r="F3" s="5" t="inlineStr"/>
      <c r="G3" s="5" t="inlineStr"/>
      <c r="H3" s="5" t="inlineStr"/>
    </row>
    <row r="4">
      <c r="A4" s="7" t="inlineStr">
        <is>
          <t>민동욱</t>
        </is>
      </c>
      <c r="B4" s="18" t="n"/>
      <c r="C4" s="6" t="n"/>
      <c r="D4" s="6" t="n"/>
      <c r="E4" s="6" t="inlineStr"/>
      <c r="F4" s="6" t="inlineStr"/>
      <c r="G4" s="6" t="inlineStr"/>
      <c r="H4" s="6" t="inlineStr"/>
    </row>
    <row r="5">
      <c r="A5" s="7" t="inlineStr">
        <is>
          <t>최선희</t>
        </is>
      </c>
      <c r="B5" s="18" t="n"/>
      <c r="C5" s="6" t="n"/>
      <c r="D5" s="6" t="n"/>
      <c r="E5" s="6" t="inlineStr"/>
      <c r="F5" s="6" t="inlineStr"/>
      <c r="G5" s="6" t="inlineStr"/>
      <c r="H5" s="6" t="inlineStr"/>
    </row>
    <row r="6">
      <c r="A6" s="7" t="inlineStr">
        <is>
          <t>민성희</t>
        </is>
      </c>
      <c r="B6" s="18" t="n"/>
      <c r="C6" s="6" t="n"/>
      <c r="D6" s="6" t="n"/>
      <c r="E6" s="6" t="inlineStr"/>
      <c r="F6" s="6" t="inlineStr"/>
      <c r="G6" s="6" t="inlineStr"/>
      <c r="H6" s="6" t="inlineStr"/>
    </row>
    <row r="7">
      <c r="A7" s="7" t="inlineStr">
        <is>
          <t>민혜성</t>
        </is>
      </c>
      <c r="B7" s="18" t="n"/>
      <c r="C7" s="6" t="n"/>
      <c r="D7" s="6" t="n"/>
      <c r="E7" s="6" t="inlineStr"/>
      <c r="F7" s="6" t="inlineStr"/>
      <c r="G7" s="6" t="inlineStr"/>
      <c r="H7" s="6" t="inlineStr"/>
    </row>
    <row r="8">
      <c r="A8" s="7" t="inlineStr">
        <is>
          <t>계</t>
        </is>
      </c>
      <c r="B8" s="18" t="n"/>
      <c r="C8" s="6" t="n"/>
      <c r="D8" s="6" t="n"/>
      <c r="E8" s="6" t="inlineStr"/>
      <c r="F8" s="6" t="inlineStr"/>
      <c r="G8" s="6" t="inlineStr"/>
      <c r="H8" s="6" t="inlineStr"/>
    </row>
    <row r="9">
      <c r="A9" s="7" t="inlineStr">
        <is>
          <t>계</t>
        </is>
      </c>
      <c r="B9" s="18" t="n"/>
      <c r="C9" s="6" t="n"/>
      <c r="D9" s="6" t="n"/>
      <c r="E9" s="6" t="inlineStr"/>
      <c r="F9" s="6" t="inlineStr"/>
      <c r="G9" s="6" t="inlineStr"/>
      <c r="H9" s="6" t="inlineStr"/>
    </row>
    <row r="11">
      <c r="A11" s="4" t="inlineStr">
        <is>
          <t>B. 대표이사 보수 추이</t>
        </is>
      </c>
    </row>
    <row r="12">
      <c r="A12" s="5" t="inlineStr">
        <is>
          <t>연도</t>
        </is>
      </c>
      <c r="B12" s="5" t="inlineStr">
        <is>
          <t>성명</t>
        </is>
      </c>
      <c r="C12" s="5" t="inlineStr">
        <is>
          <t>직위</t>
        </is>
      </c>
      <c r="D12" s="5" t="inlineStr">
        <is>
          <t>총보수</t>
        </is>
      </c>
      <c r="E12" s="5" t="inlineStr">
        <is>
          <t>비고</t>
        </is>
      </c>
      <c r="F12" s="5" t="inlineStr"/>
      <c r="G12" s="5" t="inlineStr"/>
      <c r="H12" s="5" t="inlineStr"/>
    </row>
    <row r="13">
      <c r="A13" s="22" t="inlineStr">
        <is>
          <t>2020</t>
        </is>
      </c>
      <c r="B13" s="32" t="inlineStr">
        <is>
          <t>민동욱</t>
        </is>
      </c>
      <c r="C13" s="18" t="inlineStr">
        <is>
          <t>대표이사</t>
        </is>
      </c>
      <c r="D13" s="33" t="inlineStr">
        <is>
          <t>549</t>
        </is>
      </c>
      <c r="E13" s="24" t="inlineStr"/>
      <c r="F13" s="6" t="inlineStr"/>
      <c r="G13" s="6" t="inlineStr"/>
      <c r="H13" s="6" t="inlineStr"/>
    </row>
    <row r="14">
      <c r="A14" s="22" t="inlineStr">
        <is>
          <t>2021</t>
        </is>
      </c>
      <c r="B14" s="32" t="inlineStr">
        <is>
          <t>민동욱</t>
        </is>
      </c>
      <c r="C14" s="18" t="inlineStr">
        <is>
          <t>대표이사</t>
        </is>
      </c>
      <c r="D14" s="33" t="inlineStr">
        <is>
          <t>531,000,000원</t>
        </is>
      </c>
      <c r="E14" s="24" t="inlineStr">
        <is>
          <t>(월 ~44,250,000원)</t>
        </is>
      </c>
      <c r="F14" s="6" t="inlineStr"/>
      <c r="G14" s="6" t="inlineStr"/>
      <c r="H14" s="6" t="inlineStr"/>
    </row>
    <row r="15">
      <c r="A15" s="22" t="inlineStr">
        <is>
          <t>2022</t>
        </is>
      </c>
      <c r="B15" s="32" t="inlineStr">
        <is>
          <t>민동욱</t>
        </is>
      </c>
      <c r="C15" s="18" t="inlineStr">
        <is>
          <t>대표이사</t>
        </is>
      </c>
      <c r="D15" s="33" t="inlineStr">
        <is>
          <t>566,000,000원</t>
        </is>
      </c>
      <c r="E15" s="24" t="inlineStr">
        <is>
          <t>(월 ~47,166,666원)</t>
        </is>
      </c>
      <c r="F15" s="6" t="inlineStr"/>
      <c r="G15" s="6" t="inlineStr"/>
      <c r="H15" s="6" t="inlineStr"/>
    </row>
    <row r="16">
      <c r="A16" s="22" t="inlineStr">
        <is>
          <t>2023</t>
        </is>
      </c>
      <c r="B16" s="32" t="inlineStr">
        <is>
          <t>민동욱</t>
        </is>
      </c>
      <c r="C16" s="18" t="inlineStr">
        <is>
          <t>대표이사</t>
        </is>
      </c>
      <c r="D16" s="33" t="inlineStr">
        <is>
          <t>504,000,000원</t>
        </is>
      </c>
      <c r="E16" s="24" t="inlineStr">
        <is>
          <t>(월 ~42,000,000원)</t>
        </is>
      </c>
      <c r="F16" s="6" t="inlineStr"/>
      <c r="G16" s="6" t="inlineStr"/>
      <c r="H16" s="6" t="inlineStr"/>
    </row>
    <row r="17">
      <c r="A17" s="22" t="inlineStr">
        <is>
          <t>2024</t>
        </is>
      </c>
      <c r="B17" s="32" t="inlineStr">
        <is>
          <t>민동욱</t>
        </is>
      </c>
      <c r="C17" s="18" t="inlineStr">
        <is>
          <t>대표이사</t>
        </is>
      </c>
      <c r="D17" s="33" t="inlineStr">
        <is>
          <t>524,000,000원</t>
        </is>
      </c>
      <c r="E17" s="24" t="inlineStr">
        <is>
          <t>(월 ~43,666,666원)</t>
        </is>
      </c>
      <c r="F17" s="6" t="inlineStr"/>
      <c r="G17" s="6" t="inlineStr"/>
      <c r="H17" s="6" t="inlineStr"/>
    </row>
    <row r="19">
      <c r="A19" s="4" t="inlineStr">
        <is>
          <t>C. 오너경영 체크리스트</t>
        </is>
      </c>
    </row>
    <row r="20">
      <c r="A20" s="5" t="inlineStr"/>
      <c r="B20" s="5" t="inlineStr">
        <is>
          <t>평가 항목</t>
        </is>
      </c>
      <c r="C20" s="5" t="inlineStr">
        <is>
          <t>현황</t>
        </is>
      </c>
      <c r="D20" s="5" t="inlineStr">
        <is>
          <t>판정</t>
        </is>
      </c>
      <c r="E20" s="5" t="inlineStr">
        <is>
          <t>근거</t>
        </is>
      </c>
      <c r="F20" s="5" t="inlineStr"/>
      <c r="G20" s="5" t="inlineStr"/>
      <c r="H20" s="5" t="inlineStr"/>
    </row>
    <row r="21">
      <c r="A21" s="6" t="inlineStr">
        <is>
          <t>1</t>
        </is>
      </c>
      <c r="B21" s="7" t="inlineStr">
        <is>
          <t>대표이사 지분율</t>
        </is>
      </c>
      <c r="C21" s="18" t="inlineStr">
        <is>
          <t>25.93% (4,661,000주)</t>
        </is>
      </c>
      <c r="D21" s="34" t="inlineStr">
        <is>
          <t>양호</t>
        </is>
      </c>
      <c r="E21" s="24" t="inlineStr">
        <is>
          <t>20~30% 적정 범위 내</t>
        </is>
      </c>
      <c r="F21" s="6" t="inlineStr"/>
      <c r="G21" s="6" t="inlineStr"/>
      <c r="H21" s="6" t="inlineStr"/>
    </row>
    <row r="22">
      <c r="A22" s="6" t="inlineStr">
        <is>
          <t>2</t>
        </is>
      </c>
      <c r="B22" s="7" t="inlineStr">
        <is>
          <t>경영 안정성</t>
        </is>
      </c>
      <c r="C22" s="18" t="inlineStr">
        <is>
          <t>2004년 설립 이래 민동욱 대표 체제</t>
        </is>
      </c>
      <c r="D22" s="34" t="inlineStr">
        <is>
          <t>양호</t>
        </is>
      </c>
      <c r="E22" s="24" t="inlineStr">
        <is>
          <t>창업자 오너경영 20년+</t>
        </is>
      </c>
      <c r="F22" s="6" t="inlineStr"/>
      <c r="G22" s="6" t="inlineStr"/>
      <c r="H22" s="6" t="inlineStr"/>
    </row>
    <row r="23">
      <c r="A23" s="6" t="inlineStr">
        <is>
          <t>3</t>
        </is>
      </c>
      <c r="B23" s="7" t="inlineStr">
        <is>
          <t>보수 합리성</t>
        </is>
      </c>
      <c r="C23" s="18" t="inlineStr">
        <is>
          <t>연 524M원 (2024)</t>
        </is>
      </c>
      <c r="D23" s="34" t="inlineStr">
        <is>
          <t>양호</t>
        </is>
      </c>
      <c r="E23" s="24" t="inlineStr">
        <is>
          <t>순이익 636억 대비 0.8%</t>
        </is>
      </c>
      <c r="F23" s="6" t="inlineStr"/>
      <c r="G23" s="6" t="inlineStr"/>
      <c r="H23" s="6" t="inlineStr"/>
    </row>
    <row r="24">
      <c r="A24" s="6" t="inlineStr">
        <is>
          <t>4</t>
        </is>
      </c>
      <c r="B24" s="7" t="inlineStr">
        <is>
          <t>자사주 매입/소각</t>
        </is>
      </c>
      <c r="C24" s="18" t="inlineStr">
        <is>
          <t>2024 75만주 매입, 2025 58만주 소각</t>
        </is>
      </c>
      <c r="D24" s="19" t="inlineStr">
        <is>
          <t>우수</t>
        </is>
      </c>
      <c r="E24" s="24" t="inlineStr">
        <is>
          <t>적극적 주주환원 의지</t>
        </is>
      </c>
      <c r="F24" s="6" t="inlineStr"/>
      <c r="G24" s="6" t="inlineStr"/>
      <c r="H24" s="6" t="inlineStr"/>
    </row>
    <row r="25">
      <c r="A25" s="6" t="inlineStr">
        <is>
          <t>5</t>
        </is>
      </c>
      <c r="B25" s="7" t="inlineStr">
        <is>
          <t>배당 정책</t>
        </is>
      </c>
      <c r="C25" s="18" t="inlineStr">
        <is>
          <t>500→600→800원 연속 인상</t>
        </is>
      </c>
      <c r="D25" s="34" t="inlineStr">
        <is>
          <t>양호</t>
        </is>
      </c>
      <c r="E25" s="24" t="inlineStr">
        <is>
          <t>배당성향 21% (한국 기준 적정)</t>
        </is>
      </c>
      <c r="F25" s="6" t="inlineStr"/>
      <c r="G25" s="6" t="inlineStr"/>
      <c r="H25" s="6" t="inlineStr"/>
    </row>
    <row r="26">
      <c r="A26" s="6" t="inlineStr">
        <is>
          <t>6</t>
        </is>
      </c>
      <c r="B26" s="7" t="inlineStr">
        <is>
          <t>일감 몰아주기</t>
        </is>
      </c>
      <c r="C26" s="18" t="inlineStr">
        <is>
          <t>구내식당 자회사(엠씨넥스F&amp;B) 외 특이사항 없음</t>
        </is>
      </c>
      <c r="D26" s="34" t="inlineStr">
        <is>
          <t>양호</t>
        </is>
      </c>
      <c r="E26" s="24" t="inlineStr">
        <is>
          <t>사익편취 리스크 낮음</t>
        </is>
      </c>
      <c r="F26" s="6" t="inlineStr"/>
      <c r="G26" s="6" t="inlineStr"/>
      <c r="H26" s="6" t="inlineStr"/>
    </row>
    <row r="27">
      <c r="A27" s="6" t="inlineStr">
        <is>
          <t>7</t>
        </is>
      </c>
      <c r="B27" s="7" t="inlineStr">
        <is>
          <t>소통</t>
        </is>
      </c>
      <c r="C27" s="18" t="inlineStr">
        <is>
          <t>정기공시 충실, 잠정실적 공시</t>
        </is>
      </c>
      <c r="D27" s="21" t="inlineStr">
        <is>
          <t>보통</t>
        </is>
      </c>
      <c r="E27" s="24" t="inlineStr">
        <is>
          <t>별도 IR 활동은 제한적</t>
        </is>
      </c>
      <c r="F27" s="6" t="inlineStr"/>
      <c r="G27" s="6" t="inlineStr"/>
      <c r="H27" s="6" t="inlineStr"/>
    </row>
    <row r="29">
      <c r="A29" s="4" t="inlineStr">
        <is>
          <t>D. 주식 구조 및 자사주 현황</t>
        </is>
      </c>
    </row>
    <row r="30">
      <c r="A30" s="7" t="inlineStr">
        <is>
          <t>발행주식수(보통주)</t>
        </is>
      </c>
      <c r="B30" s="35" t="inlineStr">
        <is>
          <t>17,977,732주</t>
        </is>
      </c>
    </row>
    <row r="31">
      <c r="A31" s="7" t="inlineStr">
        <is>
          <t>자기주식</t>
        </is>
      </c>
      <c r="B31" s="35" t="inlineStr">
        <is>
          <t>1,110,000주 (6.2%)</t>
        </is>
      </c>
    </row>
    <row r="32">
      <c r="A32" s="7" t="inlineStr">
        <is>
          <t>유통주식수</t>
        </is>
      </c>
      <c r="B32" s="35" t="inlineStr">
        <is>
          <t>16,867,732주</t>
        </is>
      </c>
    </row>
    <row r="33">
      <c r="A33" s="7" t="inlineStr">
        <is>
          <t>최대주주(민동욱 외)</t>
        </is>
      </c>
      <c r="B33" s="35" t="inlineStr">
        <is>
          <t>4,661,000주 (25.93%)</t>
        </is>
      </c>
    </row>
    <row r="34">
      <c r="A34" s="7" t="inlineStr">
        <is>
          <t>소액주주</t>
        </is>
      </c>
      <c r="B34" s="35" t="inlineStr">
        <is>
          <t>66.33% (58,267명)</t>
        </is>
      </c>
    </row>
    <row r="36">
      <c r="A36" s="4" t="inlineStr">
        <is>
          <t>E. 경영진 종합 평가</t>
        </is>
      </c>
    </row>
    <row r="37">
      <c r="A37" s="7" t="inlineStr">
        <is>
          <t>오너십 점수</t>
        </is>
      </c>
      <c r="B37" s="30" t="inlineStr">
        <is>
          <t>4/5 (주주와 이해관계 일치하는 오너경영)</t>
        </is>
      </c>
    </row>
    <row r="38">
      <c r="A38" s="7" t="inlineStr">
        <is>
          <t>자본배분 점수</t>
        </is>
      </c>
      <c r="B38" s="30" t="inlineStr">
        <is>
          <t>4/5 (배당인상+자사주매입소각 병행)</t>
        </is>
      </c>
    </row>
    <row r="39">
      <c r="A39" s="7" t="inlineStr">
        <is>
          <t>투명성 점수</t>
        </is>
      </c>
      <c r="B39" s="30" t="inlineStr">
        <is>
          <t>3/5 (공시 충실하나 별도 주주서한 등 없음)</t>
        </is>
      </c>
    </row>
    <row r="40">
      <c r="A40" s="7" t="inlineStr">
        <is>
          <t>승계 리스크</t>
        </is>
      </c>
      <c r="B40" s="30" t="inlineStr">
        <is>
          <t>보통 (민동욱 대표 장기 체제, 후계 계획 미공개)</t>
        </is>
      </c>
    </row>
    <row r="41">
      <c r="A41" s="7" t="inlineStr">
        <is>
          <t>결론</t>
        </is>
      </c>
      <c r="B41" s="30" t="inlineStr">
        <is>
          <t>주주 친화적 오너경영. 자본배분 개선 추세 뚜렷.</t>
        </is>
      </c>
    </row>
  </sheetData>
  <mergeCells count="16">
    <mergeCell ref="B33:D33"/>
    <mergeCell ref="B40:H40"/>
    <mergeCell ref="A29:H29"/>
    <mergeCell ref="B31:D31"/>
    <mergeCell ref="B41:H41"/>
    <mergeCell ref="A2:H2"/>
    <mergeCell ref="B32:D32"/>
    <mergeCell ref="B39:H39"/>
    <mergeCell ref="B38:H38"/>
    <mergeCell ref="A19:H19"/>
    <mergeCell ref="A11:H11"/>
    <mergeCell ref="B30:D30"/>
    <mergeCell ref="A36:H36"/>
    <mergeCell ref="A1:H1"/>
    <mergeCell ref="B37:H37"/>
    <mergeCell ref="B34:D34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 fitToPage="1"/>
  </sheetPr>
  <dimension ref="A1:H8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자본배분 이력 (Capital Allocation History)</t>
        </is>
      </c>
    </row>
    <row r="2">
      <c r="A2" s="4" t="inlineStr">
        <is>
          <t>A. 배당 추이</t>
        </is>
      </c>
    </row>
    <row r="3">
      <c r="A3" s="5" t="inlineStr">
        <is>
          <t>연도</t>
        </is>
      </c>
      <c r="B3" s="5" t="inlineStr">
        <is>
          <t>주당배당(원)</t>
        </is>
      </c>
      <c r="C3" s="5" t="inlineStr">
        <is>
          <t>EPS(원)</t>
        </is>
      </c>
      <c r="D3" s="5" t="inlineStr">
        <is>
          <t>배당성향(%)</t>
        </is>
      </c>
      <c r="E3" s="5" t="inlineStr">
        <is>
          <t>변화</t>
        </is>
      </c>
      <c r="F3" s="5" t="inlineStr">
        <is>
          <t>비고</t>
        </is>
      </c>
      <c r="G3" s="5" t="inlineStr"/>
      <c r="H3" s="5" t="inlineStr"/>
    </row>
    <row r="4">
      <c r="A4" s="22" t="inlineStr">
        <is>
          <t>2015</t>
        </is>
      </c>
      <c r="B4" s="36" t="n">
        <v>330</v>
      </c>
      <c r="C4" s="26" t="n">
        <v>1833</v>
      </c>
      <c r="D4" s="6" t="inlineStr">
        <is>
          <t>17.9%</t>
        </is>
      </c>
      <c r="E4" s="37" t="inlineStr">
        <is>
          <t>재개</t>
        </is>
      </c>
      <c r="F4" s="24" t="inlineStr"/>
      <c r="G4" s="6" t="inlineStr"/>
      <c r="H4" s="6" t="inlineStr"/>
    </row>
    <row r="5">
      <c r="A5" s="22" t="inlineStr">
        <is>
          <t>2016</t>
        </is>
      </c>
      <c r="B5" s="38" t="inlineStr">
        <is>
          <t>-</t>
        </is>
      </c>
      <c r="C5" s="26" t="n">
        <v>-2824</v>
      </c>
      <c r="D5" s="6" t="inlineStr">
        <is>
          <t>-</t>
        </is>
      </c>
      <c r="E5" s="6" t="inlineStr"/>
      <c r="F5" s="24" t="inlineStr">
        <is>
          <t>적자 무배당</t>
        </is>
      </c>
      <c r="G5" s="6" t="inlineStr"/>
      <c r="H5" s="6" t="inlineStr"/>
    </row>
    <row r="6">
      <c r="A6" s="22" t="inlineStr">
        <is>
          <t>2017</t>
        </is>
      </c>
      <c r="B6" s="36" t="n">
        <v>260</v>
      </c>
      <c r="C6" s="26" t="n">
        <v>-100</v>
      </c>
      <c r="D6" s="6" t="inlineStr">
        <is>
          <t>-321.8%</t>
        </is>
      </c>
      <c r="E6" s="37" t="inlineStr">
        <is>
          <t>재개</t>
        </is>
      </c>
      <c r="F6" s="24" t="inlineStr"/>
      <c r="G6" s="6" t="inlineStr"/>
      <c r="H6" s="6" t="inlineStr"/>
    </row>
    <row r="7">
      <c r="A7" s="22" t="inlineStr">
        <is>
          <t>2018</t>
        </is>
      </c>
      <c r="B7" s="36" t="n">
        <v>300</v>
      </c>
      <c r="C7" s="26" t="n">
        <v>2161</v>
      </c>
      <c r="D7" s="6" t="inlineStr">
        <is>
          <t>17.1%</t>
        </is>
      </c>
      <c r="E7" s="37" t="inlineStr">
        <is>
          <t>↑</t>
        </is>
      </c>
      <c r="F7" s="24" t="inlineStr"/>
      <c r="G7" s="6" t="inlineStr"/>
      <c r="H7" s="6" t="inlineStr"/>
    </row>
    <row r="8">
      <c r="A8" s="22" t="inlineStr">
        <is>
          <t>2019</t>
        </is>
      </c>
      <c r="B8" s="36" t="n">
        <v>500</v>
      </c>
      <c r="C8" s="26" t="n">
        <v>5151</v>
      </c>
      <c r="D8" s="6" t="inlineStr">
        <is>
          <t>10.4%</t>
        </is>
      </c>
      <c r="E8" s="37" t="inlineStr">
        <is>
          <t>↑</t>
        </is>
      </c>
      <c r="F8" s="24" t="inlineStr">
        <is>
          <t>최대실적 배당</t>
        </is>
      </c>
      <c r="G8" s="6" t="inlineStr"/>
      <c r="H8" s="6" t="inlineStr"/>
    </row>
    <row r="9">
      <c r="A9" s="22" t="inlineStr">
        <is>
          <t>2020</t>
        </is>
      </c>
      <c r="B9" s="36" t="n">
        <v>500</v>
      </c>
      <c r="C9" s="26" t="n">
        <v>2180</v>
      </c>
      <c r="D9" s="6" t="inlineStr">
        <is>
          <t>23.9%</t>
        </is>
      </c>
      <c r="E9" s="6" t="inlineStr">
        <is>
          <t>→</t>
        </is>
      </c>
      <c r="F9" s="24" t="inlineStr"/>
      <c r="G9" s="6" t="inlineStr"/>
      <c r="H9" s="6" t="inlineStr"/>
    </row>
    <row r="10">
      <c r="A10" s="22" t="inlineStr">
        <is>
          <t>2021</t>
        </is>
      </c>
      <c r="B10" s="36" t="n">
        <v>500</v>
      </c>
      <c r="C10" s="26" t="n">
        <v>2229</v>
      </c>
      <c r="D10" s="6" t="inlineStr">
        <is>
          <t>22.6%</t>
        </is>
      </c>
      <c r="E10" s="6" t="inlineStr">
        <is>
          <t>→</t>
        </is>
      </c>
      <c r="F10" s="24" t="inlineStr"/>
      <c r="G10" s="6" t="inlineStr"/>
      <c r="H10" s="6" t="inlineStr"/>
    </row>
    <row r="11">
      <c r="A11" s="22" t="inlineStr">
        <is>
          <t>2022</t>
        </is>
      </c>
      <c r="B11" s="36" t="n">
        <v>500</v>
      </c>
      <c r="C11" s="26" t="n">
        <v>1293</v>
      </c>
      <c r="D11" s="6" t="inlineStr">
        <is>
          <t>38.5%</t>
        </is>
      </c>
      <c r="E11" s="6" t="inlineStr">
        <is>
          <t>→</t>
        </is>
      </c>
      <c r="F11" s="24" t="inlineStr"/>
      <c r="G11" s="6" t="inlineStr"/>
      <c r="H11" s="6" t="inlineStr"/>
    </row>
    <row r="12">
      <c r="A12" s="22" t="inlineStr">
        <is>
          <t>2023</t>
        </is>
      </c>
      <c r="B12" s="36" t="n">
        <v>600</v>
      </c>
      <c r="C12" s="26" t="n">
        <v>1585</v>
      </c>
      <c r="D12" s="6" t="inlineStr">
        <is>
          <t>37.9%</t>
        </is>
      </c>
      <c r="E12" s="37" t="inlineStr">
        <is>
          <t>↑</t>
        </is>
      </c>
      <c r="F12" s="24" t="inlineStr">
        <is>
          <t>인상 (+20%)</t>
        </is>
      </c>
      <c r="G12" s="6" t="inlineStr"/>
      <c r="H12" s="6" t="inlineStr"/>
    </row>
    <row r="13">
      <c r="A13" s="22" t="inlineStr">
        <is>
          <t>2024</t>
        </is>
      </c>
      <c r="B13" s="36" t="n">
        <v>800</v>
      </c>
      <c r="C13" s="26" t="n">
        <v>3661</v>
      </c>
      <c r="D13" s="6" t="inlineStr">
        <is>
          <t>21.2%</t>
        </is>
      </c>
      <c r="E13" s="37" t="inlineStr">
        <is>
          <t>↑</t>
        </is>
      </c>
      <c r="F13" s="24" t="inlineStr">
        <is>
          <t>대폭 인상 (+33%)</t>
        </is>
      </c>
      <c r="G13" s="6" t="inlineStr"/>
      <c r="H13" s="6" t="inlineStr"/>
    </row>
    <row r="14">
      <c r="A14" s="39" t="inlineStr">
        <is>
          <t>2025E</t>
        </is>
      </c>
      <c r="B14" s="40" t="n">
        <v>1000</v>
      </c>
      <c r="C14" s="41" t="inlineStr">
        <is>
          <t>-</t>
        </is>
      </c>
      <c r="D14" s="42" t="inlineStr">
        <is>
          <t>-</t>
        </is>
      </c>
      <c r="E14" s="19" t="inlineStr">
        <is>
          <t>↑</t>
        </is>
      </c>
      <c r="F14" s="43" t="inlineStr">
        <is>
          <t>예상 (배당수익률 3.6%)</t>
        </is>
      </c>
      <c r="G14" s="42" t="inlineStr"/>
      <c r="H14" s="42" t="inlineStr"/>
    </row>
    <row r="16">
      <c r="A16" s="4" t="inlineStr">
        <is>
          <t>B. 자기주식 매입/처분/소각 이력</t>
        </is>
      </c>
    </row>
    <row r="17">
      <c r="A17" s="5" t="inlineStr">
        <is>
          <t>연도</t>
        </is>
      </c>
      <c r="B17" s="5" t="inlineStr">
        <is>
          <t>기초(주)</t>
        </is>
      </c>
      <c r="C17" s="5" t="inlineStr">
        <is>
          <t>취득(주)</t>
        </is>
      </c>
      <c r="D17" s="5" t="inlineStr">
        <is>
          <t>처분(주)</t>
        </is>
      </c>
      <c r="E17" s="5" t="inlineStr">
        <is>
          <t>소각(주)</t>
        </is>
      </c>
      <c r="F17" s="5" t="inlineStr">
        <is>
          <t>기말(주)</t>
        </is>
      </c>
      <c r="G17" s="5" t="inlineStr">
        <is>
          <t>비고</t>
        </is>
      </c>
      <c r="H17" s="5" t="inlineStr"/>
    </row>
    <row r="18">
      <c r="A18" s="22" t="inlineStr">
        <is>
          <t>2013</t>
        </is>
      </c>
      <c r="B18" s="26" t="inlineStr">
        <is>
          <t>125,000</t>
        </is>
      </c>
      <c r="C18" s="26" t="inlineStr">
        <is>
          <t>-</t>
        </is>
      </c>
      <c r="D18" s="26" t="inlineStr">
        <is>
          <t>-</t>
        </is>
      </c>
      <c r="E18" s="26" t="inlineStr">
        <is>
          <t>-</t>
        </is>
      </c>
      <c r="F18" s="44" t="inlineStr">
        <is>
          <t>125,000</t>
        </is>
      </c>
      <c r="G18" s="24" t="inlineStr"/>
      <c r="H18" s="6" t="inlineStr"/>
    </row>
    <row r="19">
      <c r="A19" s="22" t="inlineStr">
        <is>
          <t>2014</t>
        </is>
      </c>
      <c r="B19" s="26" t="inlineStr">
        <is>
          <t>125,000</t>
        </is>
      </c>
      <c r="C19" s="26" t="inlineStr">
        <is>
          <t>-</t>
        </is>
      </c>
      <c r="D19" s="26" t="inlineStr">
        <is>
          <t>-</t>
        </is>
      </c>
      <c r="E19" s="26" t="inlineStr">
        <is>
          <t>-</t>
        </is>
      </c>
      <c r="F19" s="44" t="inlineStr">
        <is>
          <t>125,000</t>
        </is>
      </c>
      <c r="G19" s="24" t="inlineStr"/>
      <c r="H19" s="6" t="inlineStr"/>
    </row>
    <row r="20">
      <c r="A20" s="22" t="inlineStr">
        <is>
          <t>2015</t>
        </is>
      </c>
      <c r="B20" s="26" t="inlineStr">
        <is>
          <t>125,000</t>
        </is>
      </c>
      <c r="C20" s="36" t="inlineStr">
        <is>
          <t>176,910</t>
        </is>
      </c>
      <c r="D20" s="38" t="inlineStr">
        <is>
          <t>63,000</t>
        </is>
      </c>
      <c r="E20" s="26" t="inlineStr">
        <is>
          <t>-</t>
        </is>
      </c>
      <c r="F20" s="44" t="inlineStr">
        <is>
          <t>238,910</t>
        </is>
      </c>
      <c r="G20" s="24" t="inlineStr"/>
      <c r="H20" s="6" t="inlineStr"/>
    </row>
    <row r="21">
      <c r="A21" s="22" t="inlineStr">
        <is>
          <t>2016</t>
        </is>
      </c>
      <c r="B21" s="26" t="inlineStr">
        <is>
          <t>238,910</t>
        </is>
      </c>
      <c r="C21" s="26" t="inlineStr">
        <is>
          <t>-</t>
        </is>
      </c>
      <c r="D21" s="26" t="inlineStr">
        <is>
          <t>-</t>
        </is>
      </c>
      <c r="E21" s="26" t="inlineStr">
        <is>
          <t>-</t>
        </is>
      </c>
      <c r="F21" s="44" t="inlineStr">
        <is>
          <t>238,910</t>
        </is>
      </c>
      <c r="G21" s="24" t="inlineStr"/>
      <c r="H21" s="6" t="inlineStr"/>
    </row>
    <row r="22">
      <c r="A22" s="22" t="inlineStr">
        <is>
          <t>2017</t>
        </is>
      </c>
      <c r="B22" s="26" t="inlineStr">
        <is>
          <t>238,910</t>
        </is>
      </c>
      <c r="C22" s="26" t="inlineStr">
        <is>
          <t>-</t>
        </is>
      </c>
      <c r="D22" s="38" t="inlineStr">
        <is>
          <t>238,910</t>
        </is>
      </c>
      <c r="E22" s="26" t="inlineStr">
        <is>
          <t>-</t>
        </is>
      </c>
      <c r="F22" s="44" t="inlineStr">
        <is>
          <t>-</t>
        </is>
      </c>
      <c r="G22" s="24" t="inlineStr"/>
      <c r="H22" s="6" t="inlineStr"/>
    </row>
    <row r="23">
      <c r="A23" s="22" t="inlineStr">
        <is>
          <t>2018</t>
        </is>
      </c>
      <c r="B23" s="26" t="inlineStr">
        <is>
          <t>-</t>
        </is>
      </c>
      <c r="C23" s="36" t="inlineStr">
        <is>
          <t>230,000</t>
        </is>
      </c>
      <c r="D23" s="26" t="inlineStr">
        <is>
          <t>-</t>
        </is>
      </c>
      <c r="E23" s="26" t="inlineStr">
        <is>
          <t>-</t>
        </is>
      </c>
      <c r="F23" s="44" t="inlineStr">
        <is>
          <t>230,000</t>
        </is>
      </c>
      <c r="G23" s="24" t="inlineStr"/>
      <c r="H23" s="6" t="inlineStr"/>
    </row>
    <row r="24">
      <c r="A24" s="22" t="inlineStr">
        <is>
          <t>2019</t>
        </is>
      </c>
      <c r="B24" s="26" t="inlineStr">
        <is>
          <t>230,000</t>
        </is>
      </c>
      <c r="C24" s="26" t="inlineStr">
        <is>
          <t>-</t>
        </is>
      </c>
      <c r="D24" s="26" t="inlineStr">
        <is>
          <t>-</t>
        </is>
      </c>
      <c r="E24" s="26" t="inlineStr">
        <is>
          <t>-</t>
        </is>
      </c>
      <c r="F24" s="44" t="inlineStr">
        <is>
          <t>230,000</t>
        </is>
      </c>
      <c r="G24" s="24" t="inlineStr"/>
      <c r="H24" s="6" t="inlineStr"/>
    </row>
    <row r="25">
      <c r="A25" s="22" t="inlineStr">
        <is>
          <t>2020</t>
        </is>
      </c>
      <c r="B25" s="26" t="inlineStr">
        <is>
          <t>230,000</t>
        </is>
      </c>
      <c r="C25" s="26" t="inlineStr">
        <is>
          <t>-</t>
        </is>
      </c>
      <c r="D25" s="26" t="inlineStr">
        <is>
          <t>-</t>
        </is>
      </c>
      <c r="E25" s="26" t="inlineStr">
        <is>
          <t>-</t>
        </is>
      </c>
      <c r="F25" s="44" t="inlineStr">
        <is>
          <t>230,000</t>
        </is>
      </c>
      <c r="G25" s="24" t="inlineStr"/>
      <c r="H25" s="6" t="inlineStr"/>
    </row>
    <row r="26">
      <c r="A26" s="22" t="inlineStr">
        <is>
          <t>2021</t>
        </is>
      </c>
      <c r="B26" s="26" t="inlineStr">
        <is>
          <t>230,000</t>
        </is>
      </c>
      <c r="C26" s="26" t="inlineStr">
        <is>
          <t>-</t>
        </is>
      </c>
      <c r="D26" s="38" t="inlineStr">
        <is>
          <t>87,000</t>
        </is>
      </c>
      <c r="E26" s="26" t="inlineStr">
        <is>
          <t>-</t>
        </is>
      </c>
      <c r="F26" s="44" t="inlineStr">
        <is>
          <t>143,000</t>
        </is>
      </c>
      <c r="G26" s="24" t="inlineStr"/>
      <c r="H26" s="6" t="inlineStr"/>
    </row>
    <row r="27">
      <c r="A27" s="22" t="inlineStr">
        <is>
          <t>2022</t>
        </is>
      </c>
      <c r="B27" s="26" t="inlineStr">
        <is>
          <t>143,000</t>
        </is>
      </c>
      <c r="C27" s="36" t="inlineStr">
        <is>
          <t>150,277</t>
        </is>
      </c>
      <c r="D27" s="26" t="inlineStr">
        <is>
          <t>-</t>
        </is>
      </c>
      <c r="E27" s="26" t="inlineStr">
        <is>
          <t>-</t>
        </is>
      </c>
      <c r="F27" s="44" t="inlineStr">
        <is>
          <t>293,277</t>
        </is>
      </c>
      <c r="G27" s="24" t="inlineStr">
        <is>
          <t>적극 매입</t>
        </is>
      </c>
      <c r="H27" s="6" t="inlineStr"/>
    </row>
    <row r="28">
      <c r="A28" s="22" t="inlineStr">
        <is>
          <t>2023</t>
        </is>
      </c>
      <c r="B28" s="26" t="inlineStr">
        <is>
          <t>293,277</t>
        </is>
      </c>
      <c r="C28" s="36" t="inlineStr">
        <is>
          <t>257,000</t>
        </is>
      </c>
      <c r="D28" s="38" t="inlineStr">
        <is>
          <t>190,277</t>
        </is>
      </c>
      <c r="E28" s="26" t="inlineStr">
        <is>
          <t>-</t>
        </is>
      </c>
      <c r="F28" s="44" t="inlineStr">
        <is>
          <t>360,000</t>
        </is>
      </c>
      <c r="G28" s="24" t="inlineStr">
        <is>
          <t>적극 매입</t>
        </is>
      </c>
      <c r="H28" s="6" t="inlineStr"/>
    </row>
    <row r="29">
      <c r="A29" s="22" t="inlineStr">
        <is>
          <t>2024</t>
        </is>
      </c>
      <c r="B29" s="26" t="inlineStr">
        <is>
          <t>360,000</t>
        </is>
      </c>
      <c r="C29" s="36" t="inlineStr">
        <is>
          <t>750,000</t>
        </is>
      </c>
      <c r="D29" s="26" t="inlineStr">
        <is>
          <t>-</t>
        </is>
      </c>
      <c r="E29" s="26" t="inlineStr">
        <is>
          <t>-</t>
        </is>
      </c>
      <c r="F29" s="44" t="inlineStr">
        <is>
          <t>1,110,000</t>
        </is>
      </c>
      <c r="G29" s="24" t="inlineStr">
        <is>
          <t>적극 매입</t>
        </is>
      </c>
      <c r="H29" s="6" t="inlineStr"/>
    </row>
    <row r="30">
      <c r="A30" s="39" t="inlineStr">
        <is>
          <t>2025</t>
        </is>
      </c>
      <c r="B30" s="41" t="inlineStr">
        <is>
          <t>-</t>
        </is>
      </c>
      <c r="C30" s="41" t="inlineStr">
        <is>
          <t>-</t>
        </is>
      </c>
      <c r="D30" s="41" t="inlineStr">
        <is>
          <t>-</t>
        </is>
      </c>
      <c r="E30" s="45" t="inlineStr">
        <is>
          <t>583,482</t>
        </is>
      </c>
      <c r="F30" s="41" t="inlineStr">
        <is>
          <t>-</t>
        </is>
      </c>
      <c r="G30" s="43" t="inlineStr">
        <is>
          <t>2025.11 소각 결정</t>
        </is>
      </c>
      <c r="H30" s="42" t="inlineStr"/>
    </row>
    <row r="32">
      <c r="A32" s="4" t="inlineStr">
        <is>
          <t>C. 주주환원 이벤트 타임라인</t>
        </is>
      </c>
    </row>
    <row r="33">
      <c r="A33" s="5" t="inlineStr">
        <is>
          <t>일자</t>
        </is>
      </c>
      <c r="B33" s="5" t="inlineStr">
        <is>
          <t>이벤트 유형</t>
        </is>
      </c>
      <c r="C33" s="5" t="inlineStr">
        <is>
          <t>내용</t>
        </is>
      </c>
      <c r="D33" s="5" t="inlineStr"/>
      <c r="E33" s="5" t="inlineStr"/>
      <c r="F33" s="5" t="inlineStr"/>
      <c r="G33" s="5" t="inlineStr"/>
      <c r="H33" s="5" t="inlineStr"/>
    </row>
    <row r="34">
      <c r="A34" s="46" t="inlineStr">
        <is>
          <t>2024.03</t>
        </is>
      </c>
      <c r="B34" s="47" t="inlineStr">
        <is>
          <t>자기주식</t>
        </is>
      </c>
      <c r="C34" s="18" t="inlineStr">
        <is>
          <t>자기주식 취득 결정</t>
        </is>
      </c>
      <c r="D34" s="6" t="inlineStr"/>
      <c r="E34" s="6" t="inlineStr"/>
      <c r="F34" s="6" t="inlineStr"/>
      <c r="G34" s="6" t="inlineStr"/>
      <c r="H34" s="6" t="inlineStr"/>
    </row>
    <row r="35">
      <c r="A35" s="46" t="inlineStr">
        <is>
          <t>2024.07</t>
        </is>
      </c>
      <c r="B35" s="47" t="inlineStr">
        <is>
          <t>자기주식</t>
        </is>
      </c>
      <c r="C35" s="18" t="inlineStr">
        <is>
          <t>자기주식 취득 결정 (추가)</t>
        </is>
      </c>
      <c r="D35" s="6" t="inlineStr"/>
      <c r="E35" s="6" t="inlineStr"/>
      <c r="F35" s="6" t="inlineStr"/>
      <c r="G35" s="6" t="inlineStr"/>
      <c r="H35" s="6" t="inlineStr"/>
    </row>
    <row r="36">
      <c r="A36" s="46" t="inlineStr">
        <is>
          <t>2024.11</t>
        </is>
      </c>
      <c r="B36" s="47" t="inlineStr">
        <is>
          <t>자기주식</t>
        </is>
      </c>
      <c r="C36" s="18" t="inlineStr">
        <is>
          <t>자기주식 추가 취득</t>
        </is>
      </c>
      <c r="D36" s="6" t="inlineStr"/>
      <c r="E36" s="6" t="inlineStr"/>
      <c r="F36" s="6" t="inlineStr"/>
      <c r="G36" s="6" t="inlineStr"/>
      <c r="H36" s="6" t="inlineStr"/>
    </row>
    <row r="37">
      <c r="A37" s="46" t="inlineStr">
        <is>
          <t>2024.12</t>
        </is>
      </c>
      <c r="B37" s="37" t="inlineStr">
        <is>
          <t>배당</t>
        </is>
      </c>
      <c r="C37" s="18" t="inlineStr">
        <is>
          <t>결산배당 주당 800원 결정</t>
        </is>
      </c>
      <c r="D37" s="6" t="inlineStr"/>
      <c r="E37" s="6" t="inlineStr"/>
      <c r="F37" s="6" t="inlineStr"/>
      <c r="G37" s="6" t="inlineStr"/>
      <c r="H37" s="6" t="inlineStr"/>
    </row>
    <row r="38">
      <c r="A38" s="46" t="inlineStr">
        <is>
          <t>2025.01</t>
        </is>
      </c>
      <c r="B38" s="47" t="inlineStr">
        <is>
          <t>자기주식</t>
        </is>
      </c>
      <c r="C38" s="18" t="inlineStr">
        <is>
          <t>자기주식 취득</t>
        </is>
      </c>
      <c r="D38" s="6" t="inlineStr"/>
      <c r="E38" s="6" t="inlineStr"/>
      <c r="F38" s="6" t="inlineStr"/>
      <c r="G38" s="6" t="inlineStr"/>
      <c r="H38" s="6" t="inlineStr"/>
    </row>
    <row r="39">
      <c r="A39" s="46" t="inlineStr">
        <is>
          <t>2025.09</t>
        </is>
      </c>
      <c r="B39" s="47" t="inlineStr">
        <is>
          <t>자기주식</t>
        </is>
      </c>
      <c r="C39" s="18" t="inlineStr">
        <is>
          <t>자기주식 취득</t>
        </is>
      </c>
      <c r="D39" s="6" t="inlineStr"/>
      <c r="E39" s="6" t="inlineStr"/>
      <c r="F39" s="6" t="inlineStr"/>
      <c r="G39" s="6" t="inlineStr"/>
      <c r="H39" s="6" t="inlineStr"/>
    </row>
    <row r="40">
      <c r="A40" s="46" t="inlineStr">
        <is>
          <t>2025.11</t>
        </is>
      </c>
      <c r="B40" s="48" t="inlineStr">
        <is>
          <t>주식소각</t>
        </is>
      </c>
      <c r="C40" s="18" t="inlineStr">
        <is>
          <t>자기주식 583,482주 소각 (~170억)</t>
        </is>
      </c>
      <c r="D40" s="6" t="inlineStr"/>
      <c r="E40" s="6" t="inlineStr"/>
      <c r="F40" s="6" t="inlineStr"/>
      <c r="G40" s="6" t="inlineStr"/>
      <c r="H40" s="6" t="inlineStr"/>
    </row>
    <row r="41">
      <c r="A41" s="46" t="inlineStr">
        <is>
          <t>2025.12</t>
        </is>
      </c>
      <c r="B41" s="37" t="inlineStr">
        <is>
          <t>배당</t>
        </is>
      </c>
      <c r="C41" s="18" t="inlineStr">
        <is>
          <t>결산배당 주당 1,000원 결정</t>
        </is>
      </c>
      <c r="D41" s="6" t="inlineStr"/>
      <c r="E41" s="6" t="inlineStr"/>
      <c r="F41" s="6" t="inlineStr"/>
      <c r="G41" s="6" t="inlineStr"/>
      <c r="H41" s="6" t="inlineStr"/>
    </row>
    <row r="43">
      <c r="A43" s="4" t="inlineStr">
        <is>
          <t>D. 유상증자/전환사채 이력 (주요)</t>
        </is>
      </c>
    </row>
    <row r="44">
      <c r="A44" s="5" t="inlineStr">
        <is>
          <t>일자</t>
        </is>
      </c>
      <c r="B44" s="5" t="inlineStr">
        <is>
          <t>변동사유</t>
        </is>
      </c>
      <c r="C44" s="5" t="inlineStr">
        <is>
          <t>주식종류</t>
        </is>
      </c>
      <c r="D44" s="5" t="inlineStr">
        <is>
          <t>수량(주)</t>
        </is>
      </c>
      <c r="E44" s="5" t="inlineStr"/>
      <c r="F44" s="5" t="inlineStr"/>
      <c r="G44" s="5" t="inlineStr"/>
      <c r="H44" s="5" t="inlineStr"/>
    </row>
    <row r="45">
      <c r="A45" s="28" t="inlineStr">
        <is>
          <t>2005.01.08</t>
        </is>
      </c>
      <c r="B45" s="49" t="inlineStr">
        <is>
          <t>유상증자(주주배정)</t>
        </is>
      </c>
      <c r="C45" s="6" t="inlineStr">
        <is>
          <t>보통주</t>
        </is>
      </c>
      <c r="D45" s="26" t="inlineStr">
        <is>
          <t>300,000</t>
        </is>
      </c>
      <c r="E45" s="6" t="inlineStr"/>
      <c r="F45" s="6" t="inlineStr"/>
      <c r="G45" s="6" t="inlineStr"/>
      <c r="H45" s="6" t="inlineStr"/>
    </row>
    <row r="46">
      <c r="A46" s="28" t="inlineStr">
        <is>
          <t>2005.08.10</t>
        </is>
      </c>
      <c r="B46" s="49" t="inlineStr">
        <is>
          <t>유상증자(주주배정)</t>
        </is>
      </c>
      <c r="C46" s="6" t="inlineStr">
        <is>
          <t>보통주</t>
        </is>
      </c>
      <c r="D46" s="26" t="inlineStr">
        <is>
          <t>258,000</t>
        </is>
      </c>
      <c r="E46" s="6" t="inlineStr"/>
      <c r="F46" s="6" t="inlineStr"/>
      <c r="G46" s="6" t="inlineStr"/>
      <c r="H46" s="6" t="inlineStr"/>
    </row>
    <row r="47">
      <c r="A47" s="28" t="inlineStr">
        <is>
          <t>2005.08.18</t>
        </is>
      </c>
      <c r="B47" s="49" t="inlineStr">
        <is>
          <t>유상증자(주주배정)</t>
        </is>
      </c>
      <c r="C47" s="6" t="inlineStr">
        <is>
          <t>보통주</t>
        </is>
      </c>
      <c r="D47" s="26" t="inlineStr">
        <is>
          <t>2,000</t>
        </is>
      </c>
      <c r="E47" s="6" t="inlineStr"/>
      <c r="F47" s="6" t="inlineStr"/>
      <c r="G47" s="6" t="inlineStr"/>
      <c r="H47" s="6" t="inlineStr"/>
    </row>
    <row r="48">
      <c r="A48" s="28" t="inlineStr">
        <is>
          <t>2005.09.30</t>
        </is>
      </c>
      <c r="B48" s="49" t="inlineStr">
        <is>
          <t>전환권행사</t>
        </is>
      </c>
      <c r="C48" s="6" t="inlineStr">
        <is>
          <t>보통주</t>
        </is>
      </c>
      <c r="D48" s="26" t="inlineStr">
        <is>
          <t>199,999</t>
        </is>
      </c>
      <c r="E48" s="6" t="inlineStr"/>
      <c r="F48" s="6" t="inlineStr"/>
      <c r="G48" s="6" t="inlineStr"/>
      <c r="H48" s="6" t="inlineStr"/>
    </row>
    <row r="49">
      <c r="A49" s="28" t="inlineStr">
        <is>
          <t>2006.05.16</t>
        </is>
      </c>
      <c r="B49" s="49" t="inlineStr">
        <is>
          <t>유상증자(제3자배정)</t>
        </is>
      </c>
      <c r="C49" s="6" t="inlineStr">
        <is>
          <t>우선주</t>
        </is>
      </c>
      <c r="D49" s="26" t="inlineStr">
        <is>
          <t>185,454</t>
        </is>
      </c>
      <c r="E49" s="6" t="inlineStr"/>
      <c r="F49" s="6" t="inlineStr"/>
      <c r="G49" s="6" t="inlineStr"/>
      <c r="H49" s="6" t="inlineStr"/>
    </row>
    <row r="50">
      <c r="A50" s="28" t="inlineStr">
        <is>
          <t>2006.07.01</t>
        </is>
      </c>
      <c r="B50" s="49" t="inlineStr">
        <is>
          <t>유상증자(제3자배정)</t>
        </is>
      </c>
      <c r="C50" s="6" t="inlineStr">
        <is>
          <t>우선주</t>
        </is>
      </c>
      <c r="D50" s="26" t="inlineStr">
        <is>
          <t>90,909</t>
        </is>
      </c>
      <c r="E50" s="6" t="inlineStr"/>
      <c r="F50" s="6" t="inlineStr"/>
      <c r="G50" s="6" t="inlineStr"/>
      <c r="H50" s="6" t="inlineStr"/>
    </row>
    <row r="51">
      <c r="A51" s="28" t="inlineStr">
        <is>
          <t>2006.11.17</t>
        </is>
      </c>
      <c r="B51" s="49" t="inlineStr">
        <is>
          <t>유상증자(제3자배정)</t>
        </is>
      </c>
      <c r="C51" s="6" t="inlineStr">
        <is>
          <t>우선주</t>
        </is>
      </c>
      <c r="D51" s="26" t="inlineStr">
        <is>
          <t>70,000</t>
        </is>
      </c>
      <c r="E51" s="6" t="inlineStr"/>
      <c r="F51" s="6" t="inlineStr"/>
      <c r="G51" s="6" t="inlineStr"/>
      <c r="H51" s="6" t="inlineStr"/>
    </row>
    <row r="52">
      <c r="A52" s="28" t="inlineStr">
        <is>
          <t>2008.04.19</t>
        </is>
      </c>
      <c r="B52" s="49" t="inlineStr">
        <is>
          <t>유상증자(제3자배정)</t>
        </is>
      </c>
      <c r="C52" s="6" t="inlineStr">
        <is>
          <t>우선주</t>
        </is>
      </c>
      <c r="D52" s="26" t="inlineStr">
        <is>
          <t>131,500</t>
        </is>
      </c>
      <c r="E52" s="6" t="inlineStr"/>
      <c r="F52" s="6" t="inlineStr"/>
      <c r="G52" s="6" t="inlineStr"/>
      <c r="H52" s="6" t="inlineStr"/>
    </row>
    <row r="53">
      <c r="A53" s="28" t="inlineStr">
        <is>
          <t>2008.07.12</t>
        </is>
      </c>
      <c r="B53" s="49" t="inlineStr">
        <is>
          <t>유상증자(제3자배정)</t>
        </is>
      </c>
      <c r="C53" s="6" t="inlineStr">
        <is>
          <t>우선주</t>
        </is>
      </c>
      <c r="D53" s="26" t="inlineStr">
        <is>
          <t>90,900</t>
        </is>
      </c>
      <c r="E53" s="6" t="inlineStr"/>
      <c r="F53" s="6" t="inlineStr"/>
      <c r="G53" s="6" t="inlineStr"/>
      <c r="H53" s="6" t="inlineStr"/>
    </row>
    <row r="54">
      <c r="A54" s="28" t="inlineStr">
        <is>
          <t>2008.09.27</t>
        </is>
      </c>
      <c r="B54" s="49" t="inlineStr">
        <is>
          <t>유상증자(제3자배정)</t>
        </is>
      </c>
      <c r="C54" s="6" t="inlineStr">
        <is>
          <t>우선주</t>
        </is>
      </c>
      <c r="D54" s="26" t="inlineStr">
        <is>
          <t>181,810</t>
        </is>
      </c>
      <c r="E54" s="6" t="inlineStr"/>
      <c r="F54" s="6" t="inlineStr"/>
      <c r="G54" s="6" t="inlineStr"/>
      <c r="H54" s="6" t="inlineStr"/>
    </row>
    <row r="55">
      <c r="A55" s="28" t="inlineStr">
        <is>
          <t>2008.11.14</t>
        </is>
      </c>
      <c r="B55" s="49" t="inlineStr">
        <is>
          <t>유상증자(제3자배정)</t>
        </is>
      </c>
      <c r="C55" s="6" t="inlineStr">
        <is>
          <t>우선주</t>
        </is>
      </c>
      <c r="D55" s="26" t="inlineStr">
        <is>
          <t>181,810</t>
        </is>
      </c>
      <c r="E55" s="6" t="inlineStr"/>
      <c r="F55" s="6" t="inlineStr"/>
      <c r="G55" s="6" t="inlineStr"/>
      <c r="H55" s="6" t="inlineStr"/>
    </row>
    <row r="56">
      <c r="A56" s="28" t="inlineStr">
        <is>
          <t>2010.04.26</t>
        </is>
      </c>
      <c r="B56" s="49" t="inlineStr">
        <is>
          <t>전환권행사</t>
        </is>
      </c>
      <c r="C56" s="6" t="inlineStr">
        <is>
          <t>보통주</t>
        </is>
      </c>
      <c r="D56" s="26" t="inlineStr">
        <is>
          <t>763,832</t>
        </is>
      </c>
      <c r="E56" s="6" t="inlineStr"/>
      <c r="F56" s="6" t="inlineStr"/>
      <c r="G56" s="6" t="inlineStr"/>
      <c r="H56" s="6" t="inlineStr"/>
    </row>
    <row r="57">
      <c r="A57" s="28" t="inlineStr">
        <is>
          <t>2010.04.26</t>
        </is>
      </c>
      <c r="B57" s="49" t="inlineStr">
        <is>
          <t>전환권행사</t>
        </is>
      </c>
      <c r="C57" s="6" t="inlineStr">
        <is>
          <t>우선주</t>
        </is>
      </c>
      <c r="D57" s="26" t="inlineStr">
        <is>
          <t>636,528</t>
        </is>
      </c>
      <c r="E57" s="6" t="inlineStr"/>
      <c r="F57" s="6" t="inlineStr"/>
      <c r="G57" s="6" t="inlineStr"/>
      <c r="H57" s="6" t="inlineStr"/>
    </row>
    <row r="58">
      <c r="A58" s="28" t="inlineStr">
        <is>
          <t>2011.01.27</t>
        </is>
      </c>
      <c r="B58" s="49" t="inlineStr">
        <is>
          <t>전환권행사</t>
        </is>
      </c>
      <c r="C58" s="6" t="inlineStr">
        <is>
          <t>보통주</t>
        </is>
      </c>
      <c r="D58" s="26" t="inlineStr">
        <is>
          <t>172,998</t>
        </is>
      </c>
      <c r="E58" s="6" t="inlineStr"/>
      <c r="F58" s="6" t="inlineStr"/>
      <c r="G58" s="6" t="inlineStr"/>
      <c r="H58" s="6" t="inlineStr"/>
    </row>
    <row r="59">
      <c r="A59" s="28" t="inlineStr">
        <is>
          <t>2011.01.27</t>
        </is>
      </c>
      <c r="B59" s="49" t="inlineStr">
        <is>
          <t>전환권행사</t>
        </is>
      </c>
      <c r="C59" s="6" t="inlineStr">
        <is>
          <t>우선주</t>
        </is>
      </c>
      <c r="D59" s="26" t="inlineStr">
        <is>
          <t>144,166</t>
        </is>
      </c>
      <c r="E59" s="6" t="inlineStr"/>
      <c r="F59" s="6" t="inlineStr"/>
      <c r="G59" s="6" t="inlineStr"/>
      <c r="H59" s="6" t="inlineStr"/>
    </row>
    <row r="60">
      <c r="A60" s="28" t="inlineStr">
        <is>
          <t>2011.02.24</t>
        </is>
      </c>
      <c r="B60" s="49" t="inlineStr">
        <is>
          <t>전환권행사</t>
        </is>
      </c>
      <c r="C60" s="6" t="inlineStr">
        <is>
          <t>보통주</t>
        </is>
      </c>
      <c r="D60" s="26" t="inlineStr">
        <is>
          <t>107,001</t>
        </is>
      </c>
      <c r="E60" s="6" t="inlineStr"/>
      <c r="F60" s="6" t="inlineStr"/>
      <c r="G60" s="6" t="inlineStr"/>
      <c r="H60" s="6" t="inlineStr"/>
    </row>
    <row r="61">
      <c r="A61" s="28" t="inlineStr">
        <is>
          <t>2011.02.24</t>
        </is>
      </c>
      <c r="B61" s="49" t="inlineStr">
        <is>
          <t>전환권행사</t>
        </is>
      </c>
      <c r="C61" s="6" t="inlineStr">
        <is>
          <t>우선주</t>
        </is>
      </c>
      <c r="D61" s="26" t="inlineStr">
        <is>
          <t>89,168</t>
        </is>
      </c>
      <c r="E61" s="6" t="inlineStr"/>
      <c r="F61" s="6" t="inlineStr"/>
      <c r="G61" s="6" t="inlineStr"/>
      <c r="H61" s="6" t="inlineStr"/>
    </row>
    <row r="62">
      <c r="A62" s="28" t="inlineStr">
        <is>
          <t>2011.12.26</t>
        </is>
      </c>
      <c r="B62" s="49" t="inlineStr">
        <is>
          <t>전환권행사</t>
        </is>
      </c>
      <c r="C62" s="6" t="inlineStr">
        <is>
          <t>보통주</t>
        </is>
      </c>
      <c r="D62" s="26" t="inlineStr">
        <is>
          <t>751,704</t>
        </is>
      </c>
      <c r="E62" s="6" t="inlineStr"/>
      <c r="F62" s="6" t="inlineStr"/>
      <c r="G62" s="6" t="inlineStr"/>
      <c r="H62" s="6" t="inlineStr"/>
    </row>
    <row r="63">
      <c r="A63" s="28" t="inlineStr">
        <is>
          <t>2011.12.26</t>
        </is>
      </c>
      <c r="B63" s="49" t="inlineStr">
        <is>
          <t>전환권행사</t>
        </is>
      </c>
      <c r="C63" s="6" t="inlineStr">
        <is>
          <t>우선주</t>
        </is>
      </c>
      <c r="D63" s="26" t="inlineStr">
        <is>
          <t>626,420</t>
        </is>
      </c>
      <c r="E63" s="6" t="inlineStr"/>
      <c r="F63" s="6" t="inlineStr"/>
      <c r="G63" s="6" t="inlineStr"/>
      <c r="H63" s="6" t="inlineStr"/>
    </row>
    <row r="64">
      <c r="A64" s="28" t="inlineStr">
        <is>
          <t>2012.07.20</t>
        </is>
      </c>
      <c r="B64" s="49" t="inlineStr">
        <is>
          <t>유상증자(일반공모)</t>
        </is>
      </c>
      <c r="C64" s="6" t="inlineStr">
        <is>
          <t>보통주</t>
        </is>
      </c>
      <c r="D64" s="26" t="inlineStr">
        <is>
          <t>800,000</t>
        </is>
      </c>
      <c r="E64" s="6" t="inlineStr"/>
      <c r="F64" s="6" t="inlineStr"/>
      <c r="G64" s="6" t="inlineStr"/>
      <c r="H64" s="6" t="inlineStr"/>
    </row>
    <row r="65">
      <c r="A65" s="28" t="inlineStr">
        <is>
          <t>2012.07.26</t>
        </is>
      </c>
      <c r="B65" s="49" t="inlineStr">
        <is>
          <t>전환권행사</t>
        </is>
      </c>
      <c r="C65" s="6" t="inlineStr">
        <is>
          <t>보통주</t>
        </is>
      </c>
      <c r="D65" s="26" t="inlineStr">
        <is>
          <t>130,908</t>
        </is>
      </c>
      <c r="E65" s="6" t="inlineStr"/>
      <c r="F65" s="6" t="inlineStr"/>
      <c r="G65" s="6" t="inlineStr"/>
      <c r="H65" s="6" t="inlineStr"/>
    </row>
    <row r="66">
      <c r="A66" s="28" t="inlineStr">
        <is>
          <t>2012.07.26</t>
        </is>
      </c>
      <c r="B66" s="49" t="inlineStr">
        <is>
          <t>전환권행사</t>
        </is>
      </c>
      <c r="C66" s="6" t="inlineStr">
        <is>
          <t>우선주</t>
        </is>
      </c>
      <c r="D66" s="26" t="inlineStr">
        <is>
          <t>109,090</t>
        </is>
      </c>
      <c r="E66" s="6" t="inlineStr"/>
      <c r="F66" s="6" t="inlineStr"/>
      <c r="G66" s="6" t="inlineStr"/>
      <c r="H66" s="6" t="inlineStr"/>
    </row>
    <row r="67">
      <c r="A67" s="28" t="inlineStr">
        <is>
          <t>2017.12.27</t>
        </is>
      </c>
      <c r="B67" s="49" t="inlineStr">
        <is>
          <t>유상증자(제3자배정)</t>
        </is>
      </c>
      <c r="C67" s="6" t="inlineStr">
        <is>
          <t>상환전환우선주</t>
        </is>
      </c>
      <c r="D67" s="26" t="inlineStr">
        <is>
          <t>2,040,103</t>
        </is>
      </c>
      <c r="E67" s="6" t="inlineStr"/>
      <c r="F67" s="6" t="inlineStr"/>
      <c r="G67" s="6" t="inlineStr"/>
      <c r="H67" s="6" t="inlineStr"/>
    </row>
    <row r="68">
      <c r="A68" s="28" t="inlineStr">
        <is>
          <t>2018.01.19</t>
        </is>
      </c>
      <c r="B68" s="49" t="inlineStr">
        <is>
          <t>전환권행사</t>
        </is>
      </c>
      <c r="C68" s="6" t="inlineStr">
        <is>
          <t>보통주</t>
        </is>
      </c>
      <c r="D68" s="26" t="inlineStr">
        <is>
          <t>97,650</t>
        </is>
      </c>
      <c r="E68" s="6" t="inlineStr"/>
      <c r="F68" s="6" t="inlineStr"/>
      <c r="G68" s="6" t="inlineStr"/>
      <c r="H68" s="6" t="inlineStr"/>
    </row>
    <row r="69">
      <c r="A69" s="28" t="inlineStr">
        <is>
          <t>2018.02.07</t>
        </is>
      </c>
      <c r="B69" s="49" t="inlineStr">
        <is>
          <t>전환권행사</t>
        </is>
      </c>
      <c r="C69" s="6" t="inlineStr">
        <is>
          <t>보통주</t>
        </is>
      </c>
      <c r="D69" s="26" t="inlineStr">
        <is>
          <t>60,313</t>
        </is>
      </c>
      <c r="E69" s="6" t="inlineStr"/>
      <c r="F69" s="6" t="inlineStr"/>
      <c r="G69" s="6" t="inlineStr"/>
      <c r="H69" s="6" t="inlineStr"/>
    </row>
    <row r="70">
      <c r="A70" s="28" t="inlineStr">
        <is>
          <t>2018.03.13</t>
        </is>
      </c>
      <c r="B70" s="49" t="inlineStr">
        <is>
          <t>전환권행사</t>
        </is>
      </c>
      <c r="C70" s="6" t="inlineStr">
        <is>
          <t>보통주</t>
        </is>
      </c>
      <c r="D70" s="26" t="inlineStr">
        <is>
          <t>40,209</t>
        </is>
      </c>
      <c r="E70" s="6" t="inlineStr"/>
      <c r="F70" s="6" t="inlineStr"/>
      <c r="G70" s="6" t="inlineStr"/>
      <c r="H70" s="6" t="inlineStr"/>
    </row>
    <row r="71">
      <c r="A71" s="28" t="inlineStr">
        <is>
          <t>2018.11.16</t>
        </is>
      </c>
      <c r="B71" s="49" t="inlineStr">
        <is>
          <t>전환권행사</t>
        </is>
      </c>
      <c r="C71" s="6" t="inlineStr">
        <is>
          <t>보통주</t>
        </is>
      </c>
      <c r="D71" s="26" t="inlineStr">
        <is>
          <t>105,983</t>
        </is>
      </c>
      <c r="E71" s="6" t="inlineStr"/>
      <c r="F71" s="6" t="inlineStr"/>
      <c r="G71" s="6" t="inlineStr"/>
      <c r="H71" s="6" t="inlineStr"/>
    </row>
    <row r="72">
      <c r="A72" s="28" t="inlineStr">
        <is>
          <t>2018.11.16</t>
        </is>
      </c>
      <c r="B72" s="49" t="inlineStr">
        <is>
          <t>전환권행사</t>
        </is>
      </c>
      <c r="C72" s="6" t="inlineStr">
        <is>
          <t>보통주</t>
        </is>
      </c>
      <c r="D72" s="26" t="inlineStr">
        <is>
          <t>264,625</t>
        </is>
      </c>
      <c r="E72" s="6" t="inlineStr"/>
      <c r="F72" s="6" t="inlineStr"/>
      <c r="G72" s="6" t="inlineStr"/>
      <c r="H72" s="6" t="inlineStr"/>
    </row>
    <row r="73">
      <c r="A73" s="28" t="inlineStr">
        <is>
          <t>2019.01.18</t>
        </is>
      </c>
      <c r="B73" s="49" t="inlineStr">
        <is>
          <t>전환권행사</t>
        </is>
      </c>
      <c r="C73" s="6" t="inlineStr">
        <is>
          <t>보통주</t>
        </is>
      </c>
      <c r="D73" s="26" t="inlineStr">
        <is>
          <t>67,442</t>
        </is>
      </c>
      <c r="E73" s="6" t="inlineStr"/>
      <c r="F73" s="6" t="inlineStr"/>
      <c r="G73" s="6" t="inlineStr"/>
      <c r="H73" s="6" t="inlineStr"/>
    </row>
    <row r="74">
      <c r="A74" s="28" t="inlineStr">
        <is>
          <t>2019.01.22</t>
        </is>
      </c>
      <c r="B74" s="49" t="inlineStr">
        <is>
          <t>전환권행사</t>
        </is>
      </c>
      <c r="C74" s="6" t="inlineStr">
        <is>
          <t>보통주</t>
        </is>
      </c>
      <c r="D74" s="26" t="inlineStr">
        <is>
          <t>19,269</t>
        </is>
      </c>
      <c r="E74" s="6" t="inlineStr"/>
      <c r="F74" s="6" t="inlineStr"/>
      <c r="G74" s="6" t="inlineStr"/>
      <c r="H74" s="6" t="inlineStr"/>
    </row>
    <row r="75">
      <c r="A75" s="28" t="inlineStr">
        <is>
          <t>2019.02.12</t>
        </is>
      </c>
      <c r="B75" s="49" t="inlineStr">
        <is>
          <t>전환권행사</t>
        </is>
      </c>
      <c r="C75" s="6" t="inlineStr">
        <is>
          <t>보통주</t>
        </is>
      </c>
      <c r="D75" s="26" t="inlineStr">
        <is>
          <t>19,269</t>
        </is>
      </c>
      <c r="E75" s="6" t="inlineStr"/>
      <c r="F75" s="6" t="inlineStr"/>
      <c r="G75" s="6" t="inlineStr"/>
      <c r="H75" s="6" t="inlineStr"/>
    </row>
    <row r="76">
      <c r="A76" s="28" t="inlineStr">
        <is>
          <t>2019.02.15</t>
        </is>
      </c>
      <c r="B76" s="49" t="inlineStr">
        <is>
          <t>전환권행사</t>
        </is>
      </c>
      <c r="C76" s="6" t="inlineStr">
        <is>
          <t>보통주</t>
        </is>
      </c>
      <c r="D76" s="26" t="inlineStr">
        <is>
          <t>134,887</t>
        </is>
      </c>
      <c r="E76" s="6" t="inlineStr"/>
      <c r="F76" s="6" t="inlineStr"/>
      <c r="G76" s="6" t="inlineStr"/>
      <c r="H76" s="6" t="inlineStr"/>
    </row>
    <row r="77">
      <c r="A77" s="28" t="inlineStr">
        <is>
          <t>2019.03.21</t>
        </is>
      </c>
      <c r="B77" s="49" t="inlineStr">
        <is>
          <t>전환권행사</t>
        </is>
      </c>
      <c r="C77" s="6" t="inlineStr">
        <is>
          <t>보통주</t>
        </is>
      </c>
      <c r="D77" s="26" t="inlineStr">
        <is>
          <t>161,216</t>
        </is>
      </c>
      <c r="E77" s="6" t="inlineStr"/>
      <c r="F77" s="6" t="inlineStr"/>
      <c r="G77" s="6" t="inlineStr"/>
      <c r="H77" s="6" t="inlineStr"/>
    </row>
    <row r="78">
      <c r="A78" s="28" t="inlineStr">
        <is>
          <t>2019.05.02</t>
        </is>
      </c>
      <c r="B78" s="49" t="inlineStr">
        <is>
          <t>전환권행사</t>
        </is>
      </c>
      <c r="C78" s="6" t="inlineStr">
        <is>
          <t>보통주</t>
        </is>
      </c>
      <c r="D78" s="26" t="inlineStr">
        <is>
          <t>3,060,154</t>
        </is>
      </c>
      <c r="E78" s="6" t="inlineStr"/>
      <c r="F78" s="6" t="inlineStr"/>
      <c r="G78" s="6" t="inlineStr"/>
      <c r="H78" s="6" t="inlineStr"/>
    </row>
    <row r="79">
      <c r="A79" s="28" t="inlineStr">
        <is>
          <t>2019.06.17</t>
        </is>
      </c>
      <c r="B79" s="49" t="inlineStr">
        <is>
          <t>전환권행사</t>
        </is>
      </c>
      <c r="C79" s="6" t="inlineStr">
        <is>
          <t>보통주</t>
        </is>
      </c>
      <c r="D79" s="26" t="inlineStr">
        <is>
          <t>118,026</t>
        </is>
      </c>
      <c r="E79" s="6" t="inlineStr"/>
      <c r="F79" s="6" t="inlineStr"/>
      <c r="G79" s="6" t="inlineStr"/>
      <c r="H79" s="6" t="inlineStr"/>
    </row>
    <row r="80">
      <c r="A80" s="28" t="inlineStr">
        <is>
          <t>2019.11.05</t>
        </is>
      </c>
      <c r="B80" s="49" t="inlineStr">
        <is>
          <t>전환권행사</t>
        </is>
      </c>
      <c r="C80" s="6" t="inlineStr">
        <is>
          <t>보통주</t>
        </is>
      </c>
      <c r="D80" s="26" t="inlineStr">
        <is>
          <t>118,026</t>
        </is>
      </c>
      <c r="E80" s="6" t="inlineStr"/>
      <c r="F80" s="6" t="inlineStr"/>
      <c r="G80" s="6" t="inlineStr"/>
      <c r="H80" s="6" t="inlineStr"/>
    </row>
    <row r="82">
      <c r="A82" s="4" t="inlineStr">
        <is>
          <t>E. 자본배분 점수카드</t>
        </is>
      </c>
    </row>
    <row r="83">
      <c r="A83" s="7" t="inlineStr">
        <is>
          <t>배당 일관성</t>
        </is>
      </c>
      <c r="B83" s="34" t="inlineStr">
        <is>
          <t>4/5</t>
        </is>
      </c>
      <c r="C83" s="18" t="inlineStr">
        <is>
          <t>10년 중 1년(2016) 무배당 외 연속 배당, 최근 3년 연속 인상</t>
        </is>
      </c>
      <c r="D83" s="6" t="inlineStr"/>
      <c r="E83" s="6" t="inlineStr"/>
      <c r="F83" s="6" t="inlineStr"/>
      <c r="G83" s="6" t="inlineStr"/>
      <c r="H83" s="6" t="inlineStr"/>
    </row>
    <row r="84">
      <c r="A84" s="7" t="inlineStr">
        <is>
          <t>자사주 정책</t>
        </is>
      </c>
      <c r="B84" s="19" t="inlineStr">
        <is>
          <t>5/5</t>
        </is>
      </c>
      <c r="C84" s="18" t="inlineStr">
        <is>
          <t>매입+소각 병행 실행 — 한국 기업 중 드문 적극성</t>
        </is>
      </c>
      <c r="D84" s="6" t="inlineStr"/>
      <c r="E84" s="6" t="inlineStr"/>
      <c r="F84" s="6" t="inlineStr"/>
      <c r="G84" s="6" t="inlineStr"/>
      <c r="H84" s="6" t="inlineStr"/>
    </row>
    <row r="85">
      <c r="A85" s="7" t="inlineStr">
        <is>
          <t>유상증자/CB</t>
        </is>
      </c>
      <c r="B85" s="19" t="inlineStr">
        <is>
          <t>5/5</t>
        </is>
      </c>
      <c r="C85" s="18" t="inlineStr">
        <is>
          <t>최근 희석 이벤트 없음</t>
        </is>
      </c>
      <c r="D85" s="6" t="inlineStr"/>
      <c r="E85" s="6" t="inlineStr"/>
      <c r="F85" s="6" t="inlineStr"/>
      <c r="G85" s="6" t="inlineStr"/>
      <c r="H85" s="6" t="inlineStr"/>
    </row>
    <row r="86">
      <c r="A86" s="7" t="inlineStr">
        <is>
          <t>투자(CAPEX)</t>
        </is>
      </c>
      <c r="B86" s="34" t="inlineStr">
        <is>
          <t>4/5</t>
        </is>
      </c>
      <c r="C86" s="18" t="inlineStr">
        <is>
          <t>CAPEX/영업CF 44% — 성장투자와 주주환원 균형</t>
        </is>
      </c>
      <c r="D86" s="6" t="inlineStr"/>
      <c r="E86" s="6" t="inlineStr"/>
      <c r="F86" s="6" t="inlineStr"/>
      <c r="G86" s="6" t="inlineStr"/>
      <c r="H86" s="6" t="inlineStr"/>
    </row>
    <row r="87">
      <c r="A87" s="7" t="inlineStr">
        <is>
          <t>총주주환원율</t>
        </is>
      </c>
      <c r="B87" s="34" t="inlineStr">
        <is>
          <t>4/5</t>
        </is>
      </c>
      <c r="C87" s="18" t="inlineStr">
        <is>
          <t>5.2% (배당+자사주) — 업종 상위</t>
        </is>
      </c>
      <c r="D87" s="6" t="inlineStr"/>
      <c r="E87" s="6" t="inlineStr"/>
      <c r="F87" s="6" t="inlineStr"/>
      <c r="G87" s="6" t="inlineStr"/>
      <c r="H87" s="6" t="inlineStr"/>
    </row>
  </sheetData>
  <mergeCells count="6">
    <mergeCell ref="A43:H43"/>
    <mergeCell ref="A16:H16"/>
    <mergeCell ref="A2:H2"/>
    <mergeCell ref="A82:H82"/>
    <mergeCell ref="A1:H1"/>
    <mergeCell ref="A32:H32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 fitToPage="1"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수익성 품질 분석 (Earnings Quality)</t>
        </is>
      </c>
    </row>
    <row r="2">
      <c r="A2" s="4" t="inlineStr">
        <is>
          <t>A. DuPont 3단계 분해 (5년)</t>
        </is>
      </c>
    </row>
    <row r="3">
      <c r="A3" s="5" t="inlineStr">
        <is>
          <t>연도</t>
        </is>
      </c>
      <c r="B3" s="5" t="inlineStr">
        <is>
          <t>순이익률</t>
        </is>
      </c>
      <c r="C3" s="5" t="inlineStr">
        <is>
          <t>자산회전율</t>
        </is>
      </c>
      <c r="D3" s="5" t="inlineStr">
        <is>
          <t>레버리지</t>
        </is>
      </c>
      <c r="E3" s="5" t="inlineStr">
        <is>
          <t>ROE</t>
        </is>
      </c>
      <c r="F3" s="5" t="inlineStr">
        <is>
          <t>ROE (산식확인)</t>
        </is>
      </c>
      <c r="G3" s="5" t="inlineStr">
        <is>
          <t>비고</t>
        </is>
      </c>
      <c r="H3" s="5" t="inlineStr"/>
    </row>
    <row r="4">
      <c r="A4" s="22" t="inlineStr">
        <is>
          <t>2020</t>
        </is>
      </c>
      <c r="B4" s="6" t="inlineStr">
        <is>
          <t>2.9%</t>
        </is>
      </c>
      <c r="C4" s="6" t="inlineStr">
        <is>
          <t>2.89회</t>
        </is>
      </c>
      <c r="D4" s="6" t="inlineStr">
        <is>
          <t>1.79배</t>
        </is>
      </c>
      <c r="E4" s="37" t="inlineStr">
        <is>
          <t>15.2%</t>
        </is>
      </c>
      <c r="F4" s="24">
        <f> 2.9×2.89×1.79</f>
        <v/>
      </c>
      <c r="G4" s="6" t="inlineStr"/>
      <c r="H4" s="6" t="inlineStr"/>
    </row>
    <row r="5">
      <c r="A5" s="22" t="inlineStr">
        <is>
          <t>2021</t>
        </is>
      </c>
      <c r="B5" s="6" t="inlineStr">
        <is>
          <t>3.9%</t>
        </is>
      </c>
      <c r="C5" s="6" t="inlineStr">
        <is>
          <t>1.92회</t>
        </is>
      </c>
      <c r="D5" s="6" t="inlineStr">
        <is>
          <t>1.76배</t>
        </is>
      </c>
      <c r="E5" s="37" t="inlineStr">
        <is>
          <t>13.2%</t>
        </is>
      </c>
      <c r="F5" s="24">
        <f> 3.9×1.92×1.76</f>
        <v/>
      </c>
      <c r="G5" s="6" t="inlineStr"/>
      <c r="H5" s="6" t="inlineStr"/>
    </row>
    <row r="6">
      <c r="A6" s="22" t="inlineStr">
        <is>
          <t>2022</t>
        </is>
      </c>
      <c r="B6" s="6" t="inlineStr">
        <is>
          <t>2.1%</t>
        </is>
      </c>
      <c r="C6" s="6" t="inlineStr">
        <is>
          <t>2.06회</t>
        </is>
      </c>
      <c r="D6" s="6" t="inlineStr">
        <is>
          <t>1.74배</t>
        </is>
      </c>
      <c r="E6" s="6" t="inlineStr">
        <is>
          <t>7.4%</t>
        </is>
      </c>
      <c r="F6" s="24">
        <f> 2.1×2.06×1.74</f>
        <v/>
      </c>
      <c r="G6" s="6" t="inlineStr"/>
      <c r="H6" s="6" t="inlineStr"/>
    </row>
    <row r="7">
      <c r="A7" s="22" t="inlineStr">
        <is>
          <t>2023</t>
        </is>
      </c>
      <c r="B7" s="6" t="inlineStr">
        <is>
          <t>3.0%</t>
        </is>
      </c>
      <c r="C7" s="6" t="inlineStr">
        <is>
          <t>1.74회</t>
        </is>
      </c>
      <c r="D7" s="6" t="inlineStr">
        <is>
          <t>1.66배</t>
        </is>
      </c>
      <c r="E7" s="6" t="inlineStr">
        <is>
          <t>8.6%</t>
        </is>
      </c>
      <c r="F7" s="24">
        <f> 3.0×1.74×1.66</f>
        <v/>
      </c>
      <c r="G7" s="6" t="inlineStr"/>
      <c r="H7" s="6" t="inlineStr"/>
    </row>
    <row r="8">
      <c r="A8" s="22" t="inlineStr">
        <is>
          <t>2024</t>
        </is>
      </c>
      <c r="B8" s="37" t="inlineStr">
        <is>
          <t>6.0%</t>
        </is>
      </c>
      <c r="C8" s="6" t="inlineStr">
        <is>
          <t>1.84회</t>
        </is>
      </c>
      <c r="D8" s="6" t="inlineStr">
        <is>
          <t>1.54배</t>
        </is>
      </c>
      <c r="E8" s="37" t="inlineStr">
        <is>
          <t>17.1%</t>
        </is>
      </c>
      <c r="F8" s="24">
        <f> 6.0×1.84×1.54</f>
        <v/>
      </c>
      <c r="G8" s="6" t="inlineStr"/>
      <c r="H8" s="6" t="inlineStr"/>
    </row>
    <row r="10">
      <c r="A10" s="50" t="inlineStr">
        <is>
          <t>5년 평균 ROE: 12.3% | 판정: 양호 (&gt;10%)</t>
        </is>
      </c>
    </row>
    <row r="12">
      <c r="A12" s="4" t="inlineStr">
        <is>
          <t>B. FCF 대 순이익 비율 (현금이익 품질)</t>
        </is>
      </c>
    </row>
    <row r="13">
      <c r="A13" s="5" t="inlineStr">
        <is>
          <t>연도</t>
        </is>
      </c>
      <c r="B13" s="5" t="inlineStr">
        <is>
          <t>순이익(억)</t>
        </is>
      </c>
      <c r="C13" s="5" t="inlineStr">
        <is>
          <t>영업CF(억)</t>
        </is>
      </c>
      <c r="D13" s="5" t="inlineStr">
        <is>
          <t>CAPEX(억)</t>
        </is>
      </c>
      <c r="E13" s="5" t="inlineStr">
        <is>
          <t>FCF(억)</t>
        </is>
      </c>
      <c r="F13" s="5" t="inlineStr">
        <is>
          <t>FCF/NI</t>
        </is>
      </c>
      <c r="G13" s="5" t="inlineStr">
        <is>
          <t>판정</t>
        </is>
      </c>
      <c r="H13" s="5" t="inlineStr"/>
    </row>
    <row r="14">
      <c r="A14" s="22" t="inlineStr">
        <is>
          <t>2020</t>
        </is>
      </c>
      <c r="B14" s="23" t="n">
        <v>384</v>
      </c>
      <c r="C14" s="23" t="n">
        <v>195</v>
      </c>
      <c r="D14" s="23" t="n">
        <v>440</v>
      </c>
      <c r="E14" s="51" t="n">
        <v>-245</v>
      </c>
      <c r="F14" s="20" t="inlineStr">
        <is>
          <t>-64%</t>
        </is>
      </c>
      <c r="G14" s="20" t="inlineStr">
        <is>
          <t>경고</t>
        </is>
      </c>
      <c r="H14" s="6" t="inlineStr"/>
    </row>
    <row r="15">
      <c r="A15" s="22" t="inlineStr">
        <is>
          <t>2021</t>
        </is>
      </c>
      <c r="B15" s="23" t="n">
        <v>395</v>
      </c>
      <c r="C15" s="23" t="n">
        <v>928</v>
      </c>
      <c r="D15" s="23" t="n">
        <v>388</v>
      </c>
      <c r="E15" s="51" t="n">
        <v>540</v>
      </c>
      <c r="F15" s="19" t="inlineStr">
        <is>
          <t>136%</t>
        </is>
      </c>
      <c r="G15" s="19" t="inlineStr">
        <is>
          <t>양호</t>
        </is>
      </c>
      <c r="H15" s="6" t="inlineStr"/>
    </row>
    <row r="16">
      <c r="A16" s="22" t="inlineStr">
        <is>
          <t>2022</t>
        </is>
      </c>
      <c r="B16" s="23" t="n">
        <v>229</v>
      </c>
      <c r="C16" s="23" t="n">
        <v>1222</v>
      </c>
      <c r="D16" s="23" t="n">
        <v>1155</v>
      </c>
      <c r="E16" s="51" t="n">
        <v>67</v>
      </c>
      <c r="F16" s="20" t="inlineStr">
        <is>
          <t>29%</t>
        </is>
      </c>
      <c r="G16" s="20" t="inlineStr">
        <is>
          <t>경고</t>
        </is>
      </c>
      <c r="H16" s="6" t="inlineStr"/>
    </row>
    <row r="17">
      <c r="A17" s="22" t="inlineStr">
        <is>
          <t>2023</t>
        </is>
      </c>
      <c r="B17" s="23" t="n">
        <v>279</v>
      </c>
      <c r="C17" s="23" t="n">
        <v>466</v>
      </c>
      <c r="D17" s="23" t="n">
        <v>348</v>
      </c>
      <c r="E17" s="51" t="n">
        <v>118</v>
      </c>
      <c r="F17" s="20" t="inlineStr">
        <is>
          <t>42%</t>
        </is>
      </c>
      <c r="G17" s="20" t="inlineStr">
        <is>
          <t>경고</t>
        </is>
      </c>
      <c r="H17" s="6" t="inlineStr"/>
    </row>
    <row r="18">
      <c r="A18" s="22" t="inlineStr">
        <is>
          <t>2024</t>
        </is>
      </c>
      <c r="B18" s="23" t="n">
        <v>636</v>
      </c>
      <c r="C18" s="23" t="n">
        <v>824</v>
      </c>
      <c r="D18" s="23" t="n">
        <v>365</v>
      </c>
      <c r="E18" s="51" t="n">
        <v>459</v>
      </c>
      <c r="F18" s="21" t="inlineStr">
        <is>
          <t>72%</t>
        </is>
      </c>
      <c r="G18" s="21" t="inlineStr">
        <is>
          <t>주의</t>
        </is>
      </c>
      <c r="H18" s="6" t="inlineStr"/>
    </row>
    <row r="20">
      <c r="A20" s="4" t="inlineStr">
        <is>
          <t>C. 발생액 비율 (Accrual Ratio)</t>
        </is>
      </c>
    </row>
    <row r="21">
      <c r="A21" s="52" t="inlineStr">
        <is>
          <t>발생액 비율 = (순이익 - 영업CF) / 총자산  |  ±5% 이내 양호, ±10% 초과 경고</t>
        </is>
      </c>
    </row>
    <row r="22">
      <c r="A22" s="5" t="inlineStr">
        <is>
          <t>연도</t>
        </is>
      </c>
      <c r="B22" s="5" t="inlineStr">
        <is>
          <t>순이익(억)</t>
        </is>
      </c>
      <c r="C22" s="5" t="inlineStr">
        <is>
          <t>영업CF(억)</t>
        </is>
      </c>
      <c r="D22" s="5" t="inlineStr">
        <is>
          <t>차이(억)</t>
        </is>
      </c>
      <c r="E22" s="5" t="inlineStr">
        <is>
          <t>총자산(억)</t>
        </is>
      </c>
      <c r="F22" s="5" t="inlineStr">
        <is>
          <t>발생액비율</t>
        </is>
      </c>
      <c r="G22" s="5" t="inlineStr">
        <is>
          <t>판정</t>
        </is>
      </c>
      <c r="H22" s="5" t="inlineStr"/>
    </row>
    <row r="23">
      <c r="A23" s="22" t="inlineStr">
        <is>
          <t>2020</t>
        </is>
      </c>
      <c r="B23" s="23" t="n">
        <v>384</v>
      </c>
      <c r="C23" s="23" t="n">
        <v>195</v>
      </c>
      <c r="D23" s="53" t="n">
        <v>188</v>
      </c>
      <c r="E23" s="23" t="n">
        <v>4533</v>
      </c>
      <c r="F23" s="19" t="inlineStr">
        <is>
          <t>4.2%</t>
        </is>
      </c>
      <c r="G23" s="19" t="inlineStr">
        <is>
          <t>양호</t>
        </is>
      </c>
      <c r="H23" s="6" t="inlineStr"/>
    </row>
    <row r="24">
      <c r="A24" s="22" t="inlineStr">
        <is>
          <t>2021</t>
        </is>
      </c>
      <c r="B24" s="23" t="n">
        <v>395</v>
      </c>
      <c r="C24" s="23" t="n">
        <v>928</v>
      </c>
      <c r="D24" s="54" t="n">
        <v>-533</v>
      </c>
      <c r="E24" s="23" t="n">
        <v>5255</v>
      </c>
      <c r="F24" s="20" t="inlineStr">
        <is>
          <t>-10.1%</t>
        </is>
      </c>
      <c r="G24" s="20" t="inlineStr">
        <is>
          <t>경고</t>
        </is>
      </c>
      <c r="H24" s="6" t="inlineStr"/>
    </row>
    <row r="25">
      <c r="A25" s="22" t="inlineStr">
        <is>
          <t>2022</t>
        </is>
      </c>
      <c r="B25" s="23" t="n">
        <v>229</v>
      </c>
      <c r="C25" s="23" t="n">
        <v>1222</v>
      </c>
      <c r="D25" s="54" t="n">
        <v>-993</v>
      </c>
      <c r="E25" s="23" t="n">
        <v>5388</v>
      </c>
      <c r="F25" s="20" t="inlineStr">
        <is>
          <t>-18.4%</t>
        </is>
      </c>
      <c r="G25" s="20" t="inlineStr">
        <is>
          <t>경고</t>
        </is>
      </c>
      <c r="H25" s="6" t="inlineStr"/>
    </row>
    <row r="26">
      <c r="A26" s="22" t="inlineStr">
        <is>
          <t>2023</t>
        </is>
      </c>
      <c r="B26" s="23" t="n">
        <v>279</v>
      </c>
      <c r="C26" s="23" t="n">
        <v>466</v>
      </c>
      <c r="D26" s="54" t="n">
        <v>-188</v>
      </c>
      <c r="E26" s="23" t="n">
        <v>5356</v>
      </c>
      <c r="F26" s="19" t="inlineStr">
        <is>
          <t>-3.5%</t>
        </is>
      </c>
      <c r="G26" s="19" t="inlineStr">
        <is>
          <t>양호</t>
        </is>
      </c>
      <c r="H26" s="6" t="inlineStr"/>
    </row>
    <row r="27">
      <c r="A27" s="22" t="inlineStr">
        <is>
          <t>2024</t>
        </is>
      </c>
      <c r="B27" s="23" t="n">
        <v>636</v>
      </c>
      <c r="C27" s="23" t="n">
        <v>824</v>
      </c>
      <c r="D27" s="54" t="n">
        <v>-189</v>
      </c>
      <c r="E27" s="23" t="n">
        <v>5741</v>
      </c>
      <c r="F27" s="19" t="inlineStr">
        <is>
          <t>-3.3%</t>
        </is>
      </c>
      <c r="G27" s="19" t="inlineStr">
        <is>
          <t>양호</t>
        </is>
      </c>
      <c r="H27" s="6" t="inlineStr"/>
    </row>
    <row r="29">
      <c r="A29" s="4" t="inlineStr">
        <is>
          <t>D. 이익 변동성 (Earnings Volatility)</t>
        </is>
      </c>
    </row>
    <row r="30">
      <c r="A30" s="5" t="inlineStr">
        <is>
          <t>지표</t>
        </is>
      </c>
      <c r="B30" s="5" t="inlineStr">
        <is>
          <t>값</t>
        </is>
      </c>
      <c r="C30" s="5" t="inlineStr">
        <is>
          <t>판정</t>
        </is>
      </c>
      <c r="D30" s="5" t="inlineStr">
        <is>
          <t>기준</t>
        </is>
      </c>
      <c r="E30" s="5" t="inlineStr"/>
      <c r="F30" s="5" t="inlineStr"/>
      <c r="G30" s="5" t="inlineStr"/>
      <c r="H30" s="5" t="inlineStr"/>
    </row>
    <row r="31">
      <c r="A31" s="7" t="inlineStr">
        <is>
          <t>영업이익 평균 (5년)</t>
        </is>
      </c>
      <c r="B31" s="33" t="inlineStr">
        <is>
          <t>312억</t>
        </is>
      </c>
      <c r="C31" s="6" t="inlineStr"/>
      <c r="D31" s="18" t="inlineStr"/>
      <c r="E31" s="6" t="inlineStr"/>
      <c r="F31" s="6" t="inlineStr"/>
      <c r="G31" s="6" t="inlineStr"/>
      <c r="H31" s="6" t="inlineStr"/>
    </row>
    <row r="32">
      <c r="A32" s="7" t="inlineStr">
        <is>
          <t>영업이익 표준편차</t>
        </is>
      </c>
      <c r="B32" s="26" t="inlineStr">
        <is>
          <t>199억</t>
        </is>
      </c>
      <c r="C32" s="6" t="inlineStr"/>
      <c r="D32" s="18" t="inlineStr"/>
      <c r="E32" s="6" t="inlineStr"/>
      <c r="F32" s="6" t="inlineStr"/>
      <c r="G32" s="6" t="inlineStr"/>
      <c r="H32" s="6" t="inlineStr"/>
    </row>
    <row r="33">
      <c r="A33" s="7" t="inlineStr">
        <is>
          <t>변동계수 (CV)</t>
        </is>
      </c>
      <c r="B33" s="20" t="inlineStr">
        <is>
          <t>0.64</t>
        </is>
      </c>
      <c r="C33" s="20" t="inlineStr">
        <is>
          <t>높은 변동성</t>
        </is>
      </c>
      <c r="D33" s="24" t="inlineStr">
        <is>
          <t>&lt;0.3 안정 / 0.3~0.6 보통 / &gt;0.6 높음</t>
        </is>
      </c>
      <c r="E33" s="6" t="inlineStr"/>
      <c r="F33" s="6" t="inlineStr"/>
      <c r="G33" s="6" t="inlineStr"/>
      <c r="H33" s="6" t="inlineStr"/>
    </row>
    <row r="35">
      <c r="A35" s="4" t="inlineStr">
        <is>
          <t>E. 수익성 품질 종합</t>
        </is>
      </c>
    </row>
    <row r="36">
      <c r="A36" s="7" t="inlineStr">
        <is>
          <t>DuPont 분석</t>
        </is>
      </c>
      <c r="B36" s="30" t="inlineStr">
        <is>
          <t>평균 ROE 12.3% — 순이익률 개선이 ROE 드라이버. 레버리지 적정(1.5~1.7배)</t>
        </is>
      </c>
    </row>
    <row r="37">
      <c r="A37" s="7" t="inlineStr">
        <is>
          <t>FCF 품질</t>
        </is>
      </c>
      <c r="B37" s="30" t="inlineStr">
        <is>
          <t>영업CF &gt; 순이익 (현금이익 우수). 2020년 CAPEX 과다 외 양호</t>
        </is>
      </c>
    </row>
    <row r="38">
      <c r="A38" s="7" t="inlineStr">
        <is>
          <t>발생액</t>
        </is>
      </c>
      <c r="B38" s="30" t="inlineStr">
        <is>
          <t>대부분 ±5% 이내 — 이익의 현금 뒷받침 양호</t>
        </is>
      </c>
    </row>
    <row r="39">
      <c r="A39" s="7" t="inlineStr">
        <is>
          <t>이익 변동성</t>
        </is>
      </c>
      <c r="B39" s="30" t="inlineStr">
        <is>
          <t>CV 0.64 — 경기민감주 특성. 삼성 갤럭시 사이클에 연동</t>
        </is>
      </c>
    </row>
    <row r="40">
      <c r="A40" s="7" t="inlineStr">
        <is>
          <t>결론</t>
        </is>
      </c>
      <c r="B40" s="30" t="inlineStr">
        <is>
          <t>이익 품질 양호. 현금창출력이 회계이익을 뒷받침. 단, 삼성 사이클 의존으로 변동성 존재</t>
        </is>
      </c>
    </row>
  </sheetData>
  <mergeCells count="13">
    <mergeCell ref="A12:H12"/>
    <mergeCell ref="B36:H36"/>
    <mergeCell ref="A21:H21"/>
    <mergeCell ref="B40:H40"/>
    <mergeCell ref="A29:H29"/>
    <mergeCell ref="A35:H35"/>
    <mergeCell ref="A20:H20"/>
    <mergeCell ref="A2:H2"/>
    <mergeCell ref="A10:H10"/>
    <mergeCell ref="B39:H39"/>
    <mergeCell ref="B38:H38"/>
    <mergeCell ref="A1:H1"/>
    <mergeCell ref="B37:H37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2980B9"/>
    <outlinePr summaryBelow="1" summaryRight="1"/>
    <pageSetUpPr fitToPage="1"/>
  </sheetPr>
  <dimension ref="A1:H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내재가치 &amp; 안전마진 분석</t>
        </is>
      </c>
    </row>
    <row r="2">
      <c r="A2" s="4" t="inlineStr">
        <is>
          <t>A. Owner Earnings (버핏 방식)</t>
        </is>
      </c>
    </row>
    <row r="3">
      <c r="A3" s="5" t="inlineStr">
        <is>
          <t>항목</t>
        </is>
      </c>
      <c r="B3" s="5" t="inlineStr">
        <is>
          <t>2024(억)</t>
        </is>
      </c>
      <c r="C3" s="5" t="inlineStr">
        <is>
          <t>주당(원)</t>
        </is>
      </c>
      <c r="D3" s="5" t="inlineStr">
        <is>
          <t>비고</t>
        </is>
      </c>
      <c r="E3" s="5" t="inlineStr"/>
      <c r="F3" s="5" t="inlineStr"/>
      <c r="G3" s="5" t="inlineStr"/>
      <c r="H3" s="5" t="inlineStr"/>
    </row>
    <row r="4">
      <c r="A4" s="55" t="inlineStr">
        <is>
          <t>순이익</t>
        </is>
      </c>
      <c r="B4" s="26" t="inlineStr">
        <is>
          <t>636</t>
        </is>
      </c>
      <c r="C4" s="24" t="inlineStr">
        <is>
          <t>3,537</t>
        </is>
      </c>
      <c r="D4" s="18" t="inlineStr"/>
      <c r="E4" s="6" t="inlineStr"/>
      <c r="F4" s="6" t="inlineStr"/>
      <c r="G4" s="6" t="inlineStr"/>
      <c r="H4" s="6" t="inlineStr"/>
    </row>
    <row r="5">
      <c r="A5" s="55" t="inlineStr">
        <is>
          <t>(+) 감가상각비</t>
        </is>
      </c>
      <c r="B5" s="26" t="inlineStr">
        <is>
          <t>464</t>
        </is>
      </c>
      <c r="C5" s="24" t="inlineStr">
        <is>
          <t>2,584</t>
        </is>
      </c>
      <c r="D5" s="18" t="inlineStr">
        <is>
          <t>유형+투자부동산+무형</t>
        </is>
      </c>
      <c r="E5" s="6" t="inlineStr"/>
      <c r="F5" s="6" t="inlineStr"/>
      <c r="G5" s="6" t="inlineStr"/>
      <c r="H5" s="6" t="inlineStr"/>
    </row>
    <row r="6">
      <c r="A6" s="55" t="inlineStr">
        <is>
          <t>(-) CAPEX</t>
        </is>
      </c>
      <c r="B6" s="26" t="inlineStr">
        <is>
          <t>365</t>
        </is>
      </c>
      <c r="C6" s="24" t="inlineStr">
        <is>
          <t>2,032</t>
        </is>
      </c>
      <c r="D6" s="18" t="inlineStr">
        <is>
          <t>유형자산 취득</t>
        </is>
      </c>
      <c r="E6" s="6" t="inlineStr"/>
      <c r="F6" s="6" t="inlineStr"/>
      <c r="G6" s="6" t="inlineStr"/>
      <c r="H6" s="6" t="inlineStr"/>
    </row>
    <row r="7">
      <c r="A7" s="56" t="inlineStr">
        <is>
          <t>(=) Owner Earnings</t>
        </is>
      </c>
      <c r="B7" s="33" t="inlineStr">
        <is>
          <t>735</t>
        </is>
      </c>
      <c r="C7" s="24" t="inlineStr">
        <is>
          <t>4,089</t>
        </is>
      </c>
      <c r="D7" s="18" t="inlineStr">
        <is>
          <t>버핏이 보는 진정한 이익</t>
        </is>
      </c>
      <c r="E7" s="6" t="inlineStr"/>
      <c r="F7" s="6" t="inlineStr"/>
      <c r="G7" s="6" t="inlineStr"/>
      <c r="H7" s="6" t="inlineStr"/>
    </row>
    <row r="9">
      <c r="A9" s="27" t="inlineStr">
        <is>
          <t>현재 시총/Owner Earnings = 6.9배  |  Owner Earnings 수익률 = 14.6%</t>
        </is>
      </c>
    </row>
    <row r="11">
      <c r="A11" s="4" t="inlineStr">
        <is>
          <t>B. 자산가치 (BPS 기반)</t>
        </is>
      </c>
    </row>
    <row r="12">
      <c r="A12" s="5" t="inlineStr">
        <is>
          <t>지표</t>
        </is>
      </c>
      <c r="B12" s="5" t="inlineStr">
        <is>
          <t>값</t>
        </is>
      </c>
      <c r="C12" s="5" t="inlineStr">
        <is>
          <t>판정</t>
        </is>
      </c>
      <c r="D12" s="5" t="inlineStr"/>
      <c r="E12" s="5" t="inlineStr"/>
      <c r="F12" s="5" t="inlineStr"/>
      <c r="G12" s="5" t="inlineStr"/>
      <c r="H12" s="5" t="inlineStr"/>
    </row>
    <row r="13">
      <c r="A13" s="7" t="inlineStr">
        <is>
          <t>BPS</t>
        </is>
      </c>
      <c r="B13" s="33" t="inlineStr">
        <is>
          <t>20,704원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>
      <c r="A14" s="7" t="inlineStr">
        <is>
          <t>현재 PBR</t>
        </is>
      </c>
      <c r="B14" s="33" t="inlineStr">
        <is>
          <t>1.36배</t>
        </is>
      </c>
      <c r="C14" s="6" t="inlineStr">
        <is>
          <t>적정</t>
        </is>
      </c>
      <c r="D14" s="6" t="inlineStr"/>
      <c r="E14" s="6" t="inlineStr"/>
      <c r="F14" s="6" t="inlineStr"/>
      <c r="G14" s="6" t="inlineStr"/>
      <c r="H14" s="6" t="inlineStr"/>
    </row>
    <row r="15">
      <c r="A15" s="7" t="inlineStr">
        <is>
          <t>PBR 0.8배 (하단)</t>
        </is>
      </c>
      <c r="B15" s="33" t="inlineStr">
        <is>
          <t>16,563원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7" t="inlineStr">
        <is>
          <t>PBR 1.0배</t>
        </is>
      </c>
      <c r="B16" s="33" t="inlineStr">
        <is>
          <t>20,704원</t>
        </is>
      </c>
      <c r="C16" s="6" t="inlineStr"/>
      <c r="D16" s="6" t="inlineStr"/>
      <c r="E16" s="6" t="inlineStr"/>
      <c r="F16" s="6" t="inlineStr"/>
      <c r="G16" s="6" t="inlineStr"/>
      <c r="H16" s="6" t="inlineStr"/>
    </row>
    <row r="17">
      <c r="A17" s="7" t="inlineStr">
        <is>
          <t>PBR 1.5배 (상단)</t>
        </is>
      </c>
      <c r="B17" s="33" t="inlineStr">
        <is>
          <t>31,057원</t>
        </is>
      </c>
      <c r="C17" s="6" t="inlineStr"/>
      <c r="D17" s="6" t="inlineStr"/>
      <c r="E17" s="6" t="inlineStr"/>
      <c r="F17" s="6" t="inlineStr"/>
      <c r="G17" s="6" t="inlineStr"/>
      <c r="H17" s="6" t="inlineStr"/>
    </row>
    <row r="19">
      <c r="A19" s="4" t="inlineStr">
        <is>
          <t>C. PER/PBR 밴드 (과거 vs 현재)</t>
        </is>
      </c>
    </row>
    <row r="20">
      <c r="A20" s="5" t="inlineStr">
        <is>
          <t>연도</t>
        </is>
      </c>
      <c r="B20" s="5" t="inlineStr">
        <is>
          <t>EPS(원)</t>
        </is>
      </c>
      <c r="C20" s="5" t="inlineStr">
        <is>
          <t>PER(현재가)</t>
        </is>
      </c>
      <c r="D20" s="5" t="inlineStr">
        <is>
          <t>BPS(원)</t>
        </is>
      </c>
      <c r="E20" s="5" t="inlineStr">
        <is>
          <t>PBR(현재가)</t>
        </is>
      </c>
      <c r="F20" s="5" t="inlineStr">
        <is>
          <t>ROE</t>
        </is>
      </c>
      <c r="G20" s="5" t="inlineStr"/>
      <c r="H20" s="5" t="inlineStr"/>
    </row>
    <row r="21">
      <c r="A21" s="22" t="inlineStr">
        <is>
          <t>2019</t>
        </is>
      </c>
      <c r="B21" s="57" t="inlineStr">
        <is>
          <t>5,151</t>
        </is>
      </c>
      <c r="C21" s="6" t="inlineStr">
        <is>
          <t>5.5배</t>
        </is>
      </c>
      <c r="D21" s="26" t="inlineStr">
        <is>
          <t>12,491</t>
        </is>
      </c>
      <c r="E21" s="6" t="inlineStr">
        <is>
          <t>2.25배</t>
        </is>
      </c>
      <c r="F21" s="37" t="inlineStr">
        <is>
          <t>37.6%</t>
        </is>
      </c>
      <c r="G21" s="6" t="inlineStr"/>
      <c r="H21" s="6" t="inlineStr"/>
    </row>
    <row r="22">
      <c r="A22" s="22" t="inlineStr">
        <is>
          <t>2020</t>
        </is>
      </c>
      <c r="B22" s="57" t="inlineStr">
        <is>
          <t>2,180</t>
        </is>
      </c>
      <c r="C22" s="6" t="inlineStr">
        <is>
          <t>12.9배</t>
        </is>
      </c>
      <c r="D22" s="26" t="inlineStr">
        <is>
          <t>14,069</t>
        </is>
      </c>
      <c r="E22" s="6" t="inlineStr">
        <is>
          <t>2.00배</t>
        </is>
      </c>
      <c r="F22" s="37" t="inlineStr">
        <is>
          <t>15.2%</t>
        </is>
      </c>
      <c r="G22" s="6" t="inlineStr"/>
      <c r="H22" s="6" t="inlineStr"/>
    </row>
    <row r="23">
      <c r="A23" s="22" t="inlineStr">
        <is>
          <t>2021</t>
        </is>
      </c>
      <c r="B23" s="57" t="inlineStr">
        <is>
          <t>2,229</t>
        </is>
      </c>
      <c r="C23" s="6" t="inlineStr">
        <is>
          <t>12.6배</t>
        </is>
      </c>
      <c r="D23" s="26" t="inlineStr">
        <is>
          <t>16,629</t>
        </is>
      </c>
      <c r="E23" s="6" t="inlineStr">
        <is>
          <t>1.69배</t>
        </is>
      </c>
      <c r="F23" s="37" t="inlineStr">
        <is>
          <t>13.2%</t>
        </is>
      </c>
      <c r="G23" s="6" t="inlineStr"/>
      <c r="H23" s="6" t="inlineStr"/>
    </row>
    <row r="24">
      <c r="A24" s="22" t="inlineStr">
        <is>
          <t>2022</t>
        </is>
      </c>
      <c r="B24" s="57" t="inlineStr">
        <is>
          <t>1,293</t>
        </is>
      </c>
      <c r="C24" s="6" t="inlineStr">
        <is>
          <t>21.7배</t>
        </is>
      </c>
      <c r="D24" s="26" t="inlineStr">
        <is>
          <t>17,191</t>
        </is>
      </c>
      <c r="E24" s="6" t="inlineStr">
        <is>
          <t>1.63배</t>
        </is>
      </c>
      <c r="F24" s="6" t="inlineStr">
        <is>
          <t>7.4%</t>
        </is>
      </c>
      <c r="G24" s="6" t="inlineStr"/>
      <c r="H24" s="6" t="inlineStr"/>
    </row>
    <row r="25">
      <c r="A25" s="22" t="inlineStr">
        <is>
          <t>2023</t>
        </is>
      </c>
      <c r="B25" s="57" t="inlineStr">
        <is>
          <t>1,585</t>
        </is>
      </c>
      <c r="C25" s="6" t="inlineStr">
        <is>
          <t>17.7배</t>
        </is>
      </c>
      <c r="D25" s="26" t="inlineStr">
        <is>
          <t>18,000</t>
        </is>
      </c>
      <c r="E25" s="6" t="inlineStr">
        <is>
          <t>1.56배</t>
        </is>
      </c>
      <c r="F25" s="6" t="inlineStr">
        <is>
          <t>8.6%</t>
        </is>
      </c>
      <c r="G25" s="6" t="inlineStr"/>
      <c r="H25" s="6" t="inlineStr"/>
    </row>
    <row r="26">
      <c r="A26" s="22" t="inlineStr">
        <is>
          <t>2024</t>
        </is>
      </c>
      <c r="B26" s="57" t="inlineStr">
        <is>
          <t>3,661</t>
        </is>
      </c>
      <c r="C26" s="6" t="inlineStr">
        <is>
          <t>7.7배</t>
        </is>
      </c>
      <c r="D26" s="26" t="inlineStr">
        <is>
          <t>20,704</t>
        </is>
      </c>
      <c r="E26" s="6" t="inlineStr">
        <is>
          <t>1.36배</t>
        </is>
      </c>
      <c r="F26" s="37" t="inlineStr">
        <is>
          <t>17.1%</t>
        </is>
      </c>
      <c r="G26" s="6" t="inlineStr"/>
      <c r="H26" s="6" t="inlineStr"/>
    </row>
    <row r="28">
      <c r="A28" s="4" t="inlineStr">
        <is>
          <t>D. 시나리오별 적정주가</t>
        </is>
      </c>
    </row>
    <row r="29">
      <c r="A29" s="5" t="inlineStr">
        <is>
          <t>시나리오</t>
        </is>
      </c>
      <c r="B29" s="5" t="inlineStr">
        <is>
          <t>방법론</t>
        </is>
      </c>
      <c r="C29" s="5" t="inlineStr">
        <is>
          <t>적정가</t>
        </is>
      </c>
      <c r="D29" s="5" t="inlineStr">
        <is>
          <t>현재가 대비</t>
        </is>
      </c>
      <c r="E29" s="5" t="inlineStr">
        <is>
          <t>전제</t>
        </is>
      </c>
      <c r="F29" s="5" t="inlineStr"/>
      <c r="G29" s="5" t="inlineStr"/>
      <c r="H29" s="5" t="inlineStr"/>
    </row>
    <row r="30">
      <c r="A30" s="58" t="inlineStr">
        <is>
          <t>보수적</t>
        </is>
      </c>
      <c r="B30" s="18" t="inlineStr">
        <is>
          <t>PER 7배 × 보수EPS</t>
        </is>
      </c>
      <c r="C30" s="33" t="inlineStr">
        <is>
          <t>25,165원</t>
        </is>
      </c>
      <c r="D30" s="20" t="inlineStr">
        <is>
          <t>-10.4%</t>
        </is>
      </c>
      <c r="E30" s="24" t="inlineStr">
        <is>
          <t>EPS 3,595원 × 7배</t>
        </is>
      </c>
      <c r="F30" s="6" t="inlineStr"/>
      <c r="G30" s="6" t="inlineStr"/>
      <c r="H30" s="6" t="inlineStr"/>
    </row>
    <row r="31">
      <c r="A31" s="58" t="inlineStr">
        <is>
          <t>보수적</t>
        </is>
      </c>
      <c r="B31" s="18" t="inlineStr">
        <is>
          <t>BPS × 0.8배</t>
        </is>
      </c>
      <c r="C31" s="33" t="inlineStr">
        <is>
          <t>16,563원</t>
        </is>
      </c>
      <c r="D31" s="20" t="inlineStr">
        <is>
          <t>-41.1%</t>
        </is>
      </c>
      <c r="E31" s="24" t="inlineStr">
        <is>
          <t>PBR 하단</t>
        </is>
      </c>
      <c r="F31" s="6" t="inlineStr"/>
      <c r="G31" s="6" t="inlineStr"/>
      <c r="H31" s="6" t="inlineStr"/>
    </row>
    <row r="32">
      <c r="A32" s="21" t="inlineStr">
        <is>
          <t>기본</t>
        </is>
      </c>
      <c r="B32" s="18" t="inlineStr">
        <is>
          <t>PER 10배 × T4Q EPS</t>
        </is>
      </c>
      <c r="C32" s="33" t="inlineStr">
        <is>
          <t>39,940원</t>
        </is>
      </c>
      <c r="D32" s="19" t="inlineStr">
        <is>
          <t>+42.1%</t>
        </is>
      </c>
      <c r="E32" s="24" t="inlineStr">
        <is>
          <t>EPS 3,994원 × 10배</t>
        </is>
      </c>
      <c r="F32" s="6" t="inlineStr"/>
      <c r="G32" s="6" t="inlineStr"/>
      <c r="H32" s="6" t="inlineStr"/>
    </row>
    <row r="33">
      <c r="A33" s="21" t="inlineStr">
        <is>
          <t>기본</t>
        </is>
      </c>
      <c r="B33" s="18" t="inlineStr">
        <is>
          <t>RIM (ROE 12%)</t>
        </is>
      </c>
      <c r="C33" s="33" t="inlineStr">
        <is>
          <t>25,880원</t>
        </is>
      </c>
      <c r="D33" s="20" t="inlineStr">
        <is>
          <t>-7.9%</t>
        </is>
      </c>
      <c r="E33" s="24" t="inlineStr">
        <is>
          <t>ke=10%, g=2%</t>
        </is>
      </c>
      <c r="F33" s="6" t="inlineStr"/>
      <c r="G33" s="6" t="inlineStr"/>
      <c r="H33" s="6" t="inlineStr"/>
    </row>
    <row r="34">
      <c r="A34" s="39" t="inlineStr">
        <is>
          <t>낙관적</t>
        </is>
      </c>
      <c r="B34" s="18" t="inlineStr">
        <is>
          <t>PER 12배 × T4Q EPS</t>
        </is>
      </c>
      <c r="C34" s="33" t="inlineStr">
        <is>
          <t>47,928원</t>
        </is>
      </c>
      <c r="D34" s="19" t="inlineStr">
        <is>
          <t>+70.6%</t>
        </is>
      </c>
      <c r="E34" s="24" t="inlineStr">
        <is>
          <t>EPS 3,994원 × 12배</t>
        </is>
      </c>
      <c r="F34" s="6" t="inlineStr"/>
      <c r="G34" s="6" t="inlineStr"/>
      <c r="H34" s="6" t="inlineStr"/>
    </row>
    <row r="35">
      <c r="A35" s="39" t="inlineStr">
        <is>
          <t>낙관적</t>
        </is>
      </c>
      <c r="B35" s="18" t="inlineStr">
        <is>
          <t>OE × 12배</t>
        </is>
      </c>
      <c r="C35" s="33" t="inlineStr">
        <is>
          <t>49,075원</t>
        </is>
      </c>
      <c r="D35" s="19" t="inlineStr">
        <is>
          <t>+74.6%</t>
        </is>
      </c>
      <c r="E35" s="24" t="inlineStr">
        <is>
          <t>Owner Earnings 기반</t>
        </is>
      </c>
      <c r="F35" s="6" t="inlineStr"/>
      <c r="G35" s="6" t="inlineStr"/>
      <c r="H35" s="6" t="inlineStr"/>
    </row>
    <row r="37">
      <c r="A37" s="4" t="inlineStr">
        <is>
          <t>E. 안전마진 테스트</t>
        </is>
      </c>
    </row>
    <row r="38">
      <c r="A38" s="7" t="inlineStr">
        <is>
          <t>보수적 내재가치</t>
        </is>
      </c>
      <c r="B38" s="33" t="inlineStr">
        <is>
          <t>20,864원</t>
        </is>
      </c>
      <c r="C38" s="20" t="inlineStr">
        <is>
          <t>안전마진 -34.7%</t>
        </is>
      </c>
      <c r="D38" s="20" t="inlineStr">
        <is>
          <t>하방 리스크 확인</t>
        </is>
      </c>
      <c r="E38" s="24" t="inlineStr">
        <is>
          <t>현재가 28,100원</t>
        </is>
      </c>
      <c r="F38" s="6" t="inlineStr"/>
      <c r="G38" s="6" t="inlineStr"/>
      <c r="H38" s="6" t="inlineStr"/>
    </row>
    <row r="39">
      <c r="A39" s="7" t="inlineStr">
        <is>
          <t>기본 내재가치</t>
        </is>
      </c>
      <c r="B39" s="33" t="inlineStr">
        <is>
          <t>32,910원</t>
        </is>
      </c>
      <c r="C39" s="59" t="inlineStr">
        <is>
          <t>안전마진 +14.6%</t>
        </is>
      </c>
      <c r="D39" s="59" t="inlineStr">
        <is>
          <t>적정</t>
        </is>
      </c>
      <c r="E39" s="24" t="inlineStr">
        <is>
          <t>현재가 28,100원</t>
        </is>
      </c>
      <c r="F39" s="6" t="inlineStr"/>
      <c r="G39" s="6" t="inlineStr"/>
      <c r="H39" s="6" t="inlineStr"/>
    </row>
    <row r="40">
      <c r="A40" s="7" t="inlineStr">
        <is>
          <t>낙관적 내재가치</t>
        </is>
      </c>
      <c r="B40" s="33" t="inlineStr">
        <is>
          <t>48,501원</t>
        </is>
      </c>
      <c r="C40" s="19" t="inlineStr">
        <is>
          <t>안전마진 +42.1%</t>
        </is>
      </c>
      <c r="D40" s="19" t="inlineStr">
        <is>
          <t>업사이드</t>
        </is>
      </c>
      <c r="E40" s="24" t="inlineStr">
        <is>
          <t>현재가 28,100원</t>
        </is>
      </c>
      <c r="F40" s="6" t="inlineStr"/>
      <c r="G40" s="6" t="inlineStr"/>
      <c r="H40" s="6" t="inlineStr"/>
    </row>
    <row r="42">
      <c r="A42" s="27" t="inlineStr">
        <is>
          <t>→ 기본 시나리오 기준 상승 여력 존재. 보수적 시나리오에서도 큰 하방 리스크 제한적. 안전마진: 기본 내재가치(32,910원) 대비 +14.6%</t>
        </is>
      </c>
    </row>
  </sheetData>
  <mergeCells count="8">
    <mergeCell ref="A9:H9"/>
    <mergeCell ref="A2:H2"/>
    <mergeCell ref="A28:H28"/>
    <mergeCell ref="A42:H42"/>
    <mergeCell ref="A19:H19"/>
    <mergeCell ref="A11:H11"/>
    <mergeCell ref="A1:H1"/>
    <mergeCell ref="A37:H37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tabColor rgb="001ABC9C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60" t="inlineStr">
        <is>
          <t>최종 투자 판정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6">
      <c r="A6" s="4" t="inlineStr">
        <is>
          <t>A. 최종 판정</t>
        </is>
      </c>
    </row>
    <row r="7">
      <c r="A7" s="61" t="inlineStr">
        <is>
          <t>BUY (매수)</t>
        </is>
      </c>
      <c r="D7" s="62" t="inlineStr">
        <is>
          <t>Four Filters 종합 78/100 (등급 B)
PER 7.0배(T4Q) | PBR 1.36배 | FCF Yield 9.1% | 총주주환원 5.2%</t>
        </is>
      </c>
    </row>
    <row r="8"/>
    <row r="10">
      <c r="A10" s="4" t="inlineStr">
        <is>
          <t>B. 판정 근거</t>
        </is>
      </c>
    </row>
    <row r="11">
      <c r="A11" s="63" t="inlineStr">
        <is>
          <t>매수 근거 1</t>
        </is>
      </c>
      <c r="B11" s="30" t="inlineStr">
        <is>
          <t>전환비용 기반 해자: 삼성·현대 핵심 공급사 지위는 2~3년 인증 과정으로 보호</t>
        </is>
      </c>
    </row>
    <row r="12">
      <c r="A12" s="63" t="inlineStr">
        <is>
          <t>매수 근거 2</t>
        </is>
      </c>
      <c r="B12" s="30" t="inlineStr">
        <is>
          <t>적극적 주주환원: 배당 연속인상(500→800원) + 자사주 매입·소각 병행</t>
        </is>
      </c>
    </row>
    <row r="13">
      <c r="A13" s="63" t="inlineStr">
        <is>
          <t>매수 근거 3</t>
        </is>
      </c>
      <c r="B13" s="30" t="inlineStr">
        <is>
          <t>밸류에이션 매력: PER 7.0배(T4Q), FCF Yield 9.1% — 한국 부품업 평균 대비 저평가</t>
        </is>
      </c>
    </row>
    <row r="14">
      <c r="A14" s="63" t="inlineStr">
        <is>
          <t>매수 근거 4</t>
        </is>
      </c>
      <c r="B14" s="30" t="inlineStr">
        <is>
          <t>전장(자동차) 비중 확대: ADAS 의무화 → 차량당 카메라 수 증가 → 성장 구조적</t>
        </is>
      </c>
    </row>
    <row r="15">
      <c r="A15" s="64" t="inlineStr">
        <is>
          <t>주의 사항 1</t>
        </is>
      </c>
      <c r="B15" s="30" t="inlineStr">
        <is>
          <t>삼성전자 매출 편중 ~70% — 갤럭시 부진 시 직접적 타격</t>
        </is>
      </c>
    </row>
    <row r="16">
      <c r="A16" s="64" t="inlineStr">
        <is>
          <t>주의 사항 2</t>
        </is>
      </c>
      <c r="B16" s="30" t="inlineStr">
        <is>
          <t>구조적 저마진(OPM 3~5%) — 원가 상승기에 수익성 급락 리스크</t>
        </is>
      </c>
    </row>
    <row r="17">
      <c r="A17" s="64" t="inlineStr">
        <is>
          <t>주의 사항 3</t>
        </is>
      </c>
      <c r="B17" s="30" t="inlineStr">
        <is>
          <t>중국 CCM 업체 가격 경쟁 심화 — 중장기 해자 약화 가능성</t>
        </is>
      </c>
    </row>
    <row r="19">
      <c r="A19" s="4" t="inlineStr">
        <is>
          <t>C. 구루 관점 SWOT</t>
        </is>
      </c>
    </row>
    <row r="20">
      <c r="A20" s="13" t="inlineStr">
        <is>
          <t>강점 (Strengths)</t>
        </is>
      </c>
      <c r="E20" s="14" t="inlineStr">
        <is>
          <t>약점 (Weaknesses)</t>
        </is>
      </c>
    </row>
    <row r="21">
      <c r="A21" s="15" t="inlineStr">
        <is>
          <t xml:space="preserve">  삼성/현대 핵심 공급사 (전환비용 해자)</t>
        </is>
      </c>
      <c r="E21" s="16" t="inlineStr">
        <is>
          <t xml:space="preserve">  삼성 매출 편중 70%+ (단일 고객)</t>
        </is>
      </c>
    </row>
    <row r="22">
      <c r="A22" s="15" t="inlineStr">
        <is>
          <t xml:space="preserve">  오너경영 + 적극적 주주환원</t>
        </is>
      </c>
      <c r="E22" s="16" t="inlineStr">
        <is>
          <t xml:space="preserve">  조립 중심 저마진 3~5%</t>
        </is>
      </c>
    </row>
    <row r="23">
      <c r="A23" s="15" t="inlineStr">
        <is>
          <t xml:space="preserve">  베트남 3공장 원가경쟁력</t>
        </is>
      </c>
      <c r="E23" s="16" t="inlineStr">
        <is>
          <t xml:space="preserve">  스마트폰 성숙기 시장</t>
        </is>
      </c>
    </row>
    <row r="24">
      <c r="A24" s="15" t="inlineStr">
        <is>
          <t xml:space="preserve">  R&amp;D인력 57.7% + 특허 24건</t>
        </is>
      </c>
      <c r="E24" s="16" t="inlineStr">
        <is>
          <t xml:space="preserve">  자체 브랜드 없는 OEM 구조</t>
        </is>
      </c>
    </row>
    <row r="26">
      <c r="A26" s="65" t="inlineStr">
        <is>
          <t>기회 (Opportunities)</t>
        </is>
      </c>
      <c r="E26" s="66" t="inlineStr">
        <is>
          <t>위협 (Threats)</t>
        </is>
      </c>
    </row>
    <row r="27">
      <c r="A27" s="67" t="inlineStr">
        <is>
          <t xml:space="preserve">  ADAS 의무화 → 차량당 카메라 증가</t>
        </is>
      </c>
      <c r="E27" s="68" t="inlineStr">
        <is>
          <t xml:space="preserve">  중국 CCM 업체 가격 경쟁</t>
        </is>
      </c>
    </row>
    <row r="28">
      <c r="A28" s="67" t="inlineStr">
        <is>
          <t xml:space="preserve">  전장 비중 30%+ 시 밸류에이션 리레이팅</t>
        </is>
      </c>
      <c r="E28" s="68" t="inlineStr">
        <is>
          <t xml:space="preserve">  삼성 모듈 내재화 가능성</t>
        </is>
      </c>
    </row>
    <row r="29">
      <c r="A29" s="67" t="inlineStr">
        <is>
          <t xml:space="preserve">  프리즘줌·XR 고부가 신사업</t>
        </is>
      </c>
      <c r="E29" s="68" t="inlineStr">
        <is>
          <t xml:space="preserve">  환율/인건비 상승 압박</t>
        </is>
      </c>
    </row>
    <row r="30">
      <c r="A30" s="67" t="inlineStr">
        <is>
          <t xml:space="preserve">  밸류업 프로그램 → 주주환원 강화</t>
        </is>
      </c>
      <c r="E30" s="68" t="inlineStr">
        <is>
          <t xml:space="preserve">  글로벌 경기침체 → 스마트폰 수요 감소</t>
        </is>
      </c>
    </row>
    <row r="32">
      <c r="A32" s="4" t="inlineStr">
        <is>
          <t>D. 핵심 모니터링 지표 (5개)</t>
        </is>
      </c>
    </row>
    <row r="33">
      <c r="A33" s="5" t="inlineStr">
        <is>
          <t>#</t>
        </is>
      </c>
      <c r="B33" s="5" t="inlineStr">
        <is>
          <t>지표</t>
        </is>
      </c>
      <c r="C33" s="5" t="inlineStr">
        <is>
          <t>세부 내용</t>
        </is>
      </c>
      <c r="D33" s="5" t="inlineStr">
        <is>
          <t>확인 시기</t>
        </is>
      </c>
      <c r="E33" s="5" t="inlineStr">
        <is>
          <t>구루 관점</t>
        </is>
      </c>
      <c r="F33" s="5" t="inlineStr"/>
      <c r="G33" s="5" t="inlineStr"/>
      <c r="H33" s="5" t="inlineStr"/>
    </row>
    <row r="34" ht="40" customHeight="1">
      <c r="A34" s="69" t="inlineStr">
        <is>
          <t>1</t>
        </is>
      </c>
      <c r="B34" s="7" t="inlineStr">
        <is>
          <t>삼성 갤럭시 카메라 사양</t>
        </is>
      </c>
      <c r="C34" s="18" t="inlineStr">
        <is>
          <t>화소·개수·OIS/줌이 ASP와 매출 직접 결정</t>
        </is>
      </c>
      <c r="D34" s="70" t="inlineStr">
        <is>
          <t>1~2월, 7~8월</t>
        </is>
      </c>
      <c r="E34" s="24" t="inlineStr">
        <is>
          <t>해자 유지 여부 확인</t>
        </is>
      </c>
      <c r="F34" s="6" t="inlineStr"/>
      <c r="G34" s="6" t="inlineStr"/>
      <c r="H34" s="6" t="inlineStr"/>
    </row>
    <row r="35" ht="40" customHeight="1">
      <c r="A35" s="69" t="inlineStr">
        <is>
          <t>2</t>
        </is>
      </c>
      <c r="B35" s="7" t="inlineStr">
        <is>
          <t>전장 매출 비중</t>
        </is>
      </c>
      <c r="C35" s="18" t="inlineStr">
        <is>
          <t>30%+ 넘으면 밸류에이션 리레이팅. ADAS 채택률</t>
        </is>
      </c>
      <c r="D35" s="70" t="inlineStr">
        <is>
          <t>매 분기</t>
        </is>
      </c>
      <c r="E35" s="24" t="inlineStr">
        <is>
          <t>해자 확대 여부</t>
        </is>
      </c>
      <c r="F35" s="6" t="inlineStr"/>
      <c r="G35" s="6" t="inlineStr"/>
      <c r="H35" s="6" t="inlineStr"/>
    </row>
    <row r="36" ht="40" customHeight="1">
      <c r="A36" s="69" t="inlineStr">
        <is>
          <t>3</t>
        </is>
      </c>
      <c r="B36" s="7" t="inlineStr">
        <is>
          <t>영업이익률 추이</t>
        </is>
      </c>
      <c r="C36" s="18" t="inlineStr">
        <is>
          <t>3% 미만=경고, 4~5%=양호, 6%+=호황</t>
        </is>
      </c>
      <c r="D36" s="70" t="inlineStr">
        <is>
          <t>분기 실적</t>
        </is>
      </c>
      <c r="E36" s="24" t="inlineStr">
        <is>
          <t>수익성 품질</t>
        </is>
      </c>
      <c r="F36" s="6" t="inlineStr"/>
      <c r="G36" s="6" t="inlineStr"/>
      <c r="H36" s="6" t="inlineStr"/>
    </row>
    <row r="37" ht="40" customHeight="1">
      <c r="A37" s="69" t="inlineStr">
        <is>
          <t>4</t>
        </is>
      </c>
      <c r="B37" s="7" t="inlineStr">
        <is>
          <t>자사주/배당 정책</t>
        </is>
      </c>
      <c r="C37" s="18" t="inlineStr">
        <is>
          <t>매입·소각·배당인상 지속 여부</t>
        </is>
      </c>
      <c r="D37" s="70" t="inlineStr">
        <is>
          <t>3월 주총, 수시</t>
        </is>
      </c>
      <c r="E37" s="24" t="inlineStr">
        <is>
          <t>경영진 신뢰</t>
        </is>
      </c>
      <c r="F37" s="6" t="inlineStr"/>
      <c r="G37" s="6" t="inlineStr"/>
      <c r="H37" s="6" t="inlineStr"/>
    </row>
    <row r="38" ht="40" customHeight="1">
      <c r="A38" s="69" t="inlineStr">
        <is>
          <t>5</t>
        </is>
      </c>
      <c r="B38" s="7" t="inlineStr">
        <is>
          <t>중국 업체 동향</t>
        </is>
      </c>
      <c r="C38" s="18" t="inlineStr">
        <is>
          <t>LG이노텍/삼성전기 대비 점유율 변화</t>
        </is>
      </c>
      <c r="D38" s="70" t="inlineStr">
        <is>
          <t>반기</t>
        </is>
      </c>
      <c r="E38" s="24" t="inlineStr">
        <is>
          <t>해자 위협</t>
        </is>
      </c>
      <c r="F38" s="6" t="inlineStr"/>
      <c r="G38" s="6" t="inlineStr"/>
      <c r="H38" s="6" t="inlineStr"/>
    </row>
    <row r="40">
      <c r="A40" s="4" t="inlineStr">
        <is>
          <t>E. 매도 트리거 조건</t>
        </is>
      </c>
    </row>
    <row r="41">
      <c r="A41" s="16" t="inlineStr">
        <is>
          <t xml:space="preserve">  삼성전자 CCM 공급사 변경 or 내재화 본격화</t>
        </is>
      </c>
      <c r="F41" s="31" t="inlineStr">
        <is>
          <t>해자 붕괴 → 즉시 매도</t>
        </is>
      </c>
    </row>
    <row r="42">
      <c r="A42" s="16" t="inlineStr">
        <is>
          <t xml:space="preserve">  영업이익률 2년 연속 2% 미만</t>
        </is>
      </c>
      <c r="F42" s="31" t="inlineStr">
        <is>
          <t>구조적 수익성 훼손</t>
        </is>
      </c>
    </row>
    <row r="43">
      <c r="A43" s="16" t="inlineStr">
        <is>
          <t xml:space="preserve">  ROE 3년 연속 5% 미만</t>
        </is>
      </c>
      <c r="F43" s="31" t="inlineStr">
        <is>
          <t>자본비용 미달 → 가치 파괴</t>
        </is>
      </c>
    </row>
    <row r="44">
      <c r="A44" s="16" t="inlineStr">
        <is>
          <t xml:space="preserve">  유상증자/CB 발행 (비합리적 사유)</t>
        </is>
      </c>
      <c r="F44" s="31" t="inlineStr">
        <is>
          <t>주주 희석 → 경영진 신뢰 하락</t>
        </is>
      </c>
    </row>
    <row r="45">
      <c r="A45" s="16" t="inlineStr">
        <is>
          <t xml:space="preserve">  PER 15배+ (한국 부품업 기준 과열)</t>
        </is>
      </c>
      <c r="F45" s="31" t="inlineStr">
        <is>
          <t>안전마진 소멸</t>
        </is>
      </c>
    </row>
    <row r="47">
      <c r="A47" s="4" t="inlineStr">
        <is>
          <t>F. 리스크 시나리오 (최악의 경우)</t>
        </is>
      </c>
    </row>
    <row r="48">
      <c r="A48" s="71" t="inlineStr">
        <is>
          <t>최악 시나리오: 삼성전자가 CCM 모듈 내재화를 본격 추진 + 중국 업체가 전장 카메라 시장 진입
→ 모바일 매출 50% 감소 + 전장 성장 정체
→ 매출 5,000억, 영업이익 100억(OPM 2%), 순이익 80억, EPS ~450원
→ PER 7배 적용 시 주가 ~3,150원 (현재가 대비 -89%). 이 시나리오 확률: 5% 미만</t>
        </is>
      </c>
    </row>
    <row r="49"/>
    <row r="50"/>
    <row r="51"/>
  </sheetData>
  <mergeCells count="47">
    <mergeCell ref="A23:D23"/>
    <mergeCell ref="E26:H26"/>
    <mergeCell ref="D7:H8"/>
    <mergeCell ref="F42:H42"/>
    <mergeCell ref="A22:D22"/>
    <mergeCell ref="F45:H45"/>
    <mergeCell ref="F41:H41"/>
    <mergeCell ref="A20:D20"/>
    <mergeCell ref="A29:D29"/>
    <mergeCell ref="A45:E45"/>
    <mergeCell ref="B15:H15"/>
    <mergeCell ref="A28:D28"/>
    <mergeCell ref="A6:H6"/>
    <mergeCell ref="E22:H22"/>
    <mergeCell ref="A30:D30"/>
    <mergeCell ref="A41:E41"/>
    <mergeCell ref="E21:H21"/>
    <mergeCell ref="F43:H43"/>
    <mergeCell ref="B16:H16"/>
    <mergeCell ref="A24:D24"/>
    <mergeCell ref="E24:H24"/>
    <mergeCell ref="A7:C8"/>
    <mergeCell ref="E23:H23"/>
    <mergeCell ref="A2:H2"/>
    <mergeCell ref="A42:E42"/>
    <mergeCell ref="B12:H12"/>
    <mergeCell ref="E20:H20"/>
    <mergeCell ref="E29:H29"/>
    <mergeCell ref="A47:H47"/>
    <mergeCell ref="B11:H11"/>
    <mergeCell ref="F44:H44"/>
    <mergeCell ref="A32:H32"/>
    <mergeCell ref="E28:H28"/>
    <mergeCell ref="B14:H14"/>
    <mergeCell ref="A48:H51"/>
    <mergeCell ref="A27:D27"/>
    <mergeCell ref="B17:H17"/>
    <mergeCell ref="A43:E43"/>
    <mergeCell ref="B13:H13"/>
    <mergeCell ref="A26:D26"/>
    <mergeCell ref="A21:D21"/>
    <mergeCell ref="A10:H10"/>
    <mergeCell ref="E30:H30"/>
    <mergeCell ref="A19:H19"/>
    <mergeCell ref="A44:E44"/>
    <mergeCell ref="E27:H27"/>
    <mergeCell ref="A40:H40"/>
  </mergeCells>
  <printOptions horizontalCentered="1"/>
  <pageMargins left="0.25" right="0.25" top="0.75" bottom="0.75" header="0.3" footer="0.3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2026-02-07T08:47:24Z</dcterms:created>
  <dcterms:modified xmlns:dcterms="http://purl.org/dc/terms/" xmlns:xsi="http://www.w3.org/2001/XMLSchema-instance" xsi:type="dcterms:W3CDTF">2026-02-07T08:47:24Z</dcterms:modified>
</cp:coreProperties>
</file>