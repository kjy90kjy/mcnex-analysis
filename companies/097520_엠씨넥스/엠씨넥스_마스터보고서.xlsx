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i_\Documents\엠씨넥스\companies\097520_엠씨넥스\"/>
    </mc:Choice>
  </mc:AlternateContent>
  <xr:revisionPtr revIDLastSave="0" documentId="13_ncr:1_{5253FE06-4E77-4740-84B0-6F48E3344F31}" xr6:coauthVersionLast="47" xr6:coauthVersionMax="47" xr10:uidLastSave="{00000000-0000-0000-0000-000000000000}"/>
  <bookViews>
    <workbookView xWindow="-120" yWindow="-120" windowWidth="29040" windowHeight="15720" tabRatio="874" firstSheet="5" activeTab="10" xr2:uid="{00000000-000D-0000-FFFF-FFFF00000000}"/>
  </bookViews>
  <sheets>
    <sheet name="표지" sheetId="1" r:id="rId1"/>
    <sheet name="핵심실적" sheetId="2" r:id="rId2"/>
    <sheet name="2025실적" sheetId="3" r:id="rId3"/>
    <sheet name="사업구조" sheetId="4" r:id="rId4"/>
    <sheet name="주주환원" sheetId="5" r:id="rId5"/>
    <sheet name="R&amp;D_특허" sheetId="6" r:id="rId6"/>
    <sheet name="밸류에이션" sheetId="7" r:id="rId7"/>
    <sheet name="PER분석" sheetId="8" r:id="rId8"/>
    <sheet name="PBR_ROE_RIM" sheetId="9" r:id="rId9"/>
    <sheet name="EV_EBITDA_FCF" sheetId="10" r:id="rId10"/>
    <sheet name="시나리오_SWOT" sheetId="11" r:id="rId11"/>
    <sheet name="모니터링" sheetId="12" r:id="rId12"/>
    <sheet name="Four Filters" sheetId="13" r:id="rId13"/>
    <sheet name="경제적_해자" sheetId="14" r:id="rId14"/>
    <sheet name="경영진_평가" sheetId="15" r:id="rId15"/>
    <sheet name="자본배분" sheetId="16" r:id="rId16"/>
    <sheet name="수익성_품질" sheetId="17" r:id="rId17"/>
    <sheet name="내재가치_안전마진" sheetId="18" r:id="rId18"/>
    <sheet name="투자판정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7" l="1"/>
  <c r="F7" i="17"/>
  <c r="F6" i="17"/>
  <c r="F5" i="17"/>
  <c r="F4" i="17"/>
  <c r="F6" i="4"/>
  <c r="F5" i="4"/>
  <c r="F4" i="4"/>
  <c r="E12" i="3"/>
  <c r="G11" i="3"/>
  <c r="F11" i="3"/>
  <c r="E11" i="3"/>
  <c r="G10" i="3"/>
  <c r="F10" i="3"/>
  <c r="E10" i="3"/>
  <c r="G9" i="3"/>
  <c r="F9" i="3"/>
  <c r="E9" i="3"/>
  <c r="E8" i="3"/>
  <c r="E7" i="3"/>
  <c r="E6" i="3"/>
  <c r="E5" i="3"/>
  <c r="E4" i="3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</calcChain>
</file>

<file path=xl/sharedStrings.xml><?xml version="1.0" encoding="utf-8"?>
<sst xmlns="http://schemas.openxmlformats.org/spreadsheetml/2006/main" count="1841" uniqueCount="1180">
  <si>
    <t>엠씨넥스(MCNEX)</t>
  </si>
  <si>
    <t>심층 기업분석 + 밸류에이션 종합보고서</t>
  </si>
  <si>
    <t>097520 (유가증권)  |  기타 영상기기 제조업  |  CCM(카메라모듈) 전문기업</t>
  </si>
  <si>
    <t>현재주가</t>
  </si>
  <si>
    <t>28,100원 (2026.02.06 기준)</t>
  </si>
  <si>
    <t>시가총액</t>
  </si>
  <si>
    <t>5,052억 (유통시총 4,740억)</t>
  </si>
  <si>
    <t>대표이사 / 설립일</t>
  </si>
  <si>
    <t>민동욱 / 2004.12.22</t>
  </si>
  <si>
    <t>본사</t>
  </si>
  <si>
    <t>인천 연수구 송도과학로16번길 13-39 엠씨넥스타워</t>
  </si>
  <si>
    <t>주요고객</t>
  </si>
  <si>
    <t>삼성전자(모바일 CCM), 현대모비스(전장 카메라)</t>
  </si>
  <si>
    <t>생산기지</t>
  </si>
  <si>
    <t>한국(R&amp;D+생산), 베트남(VINA 1~3공장)</t>
  </si>
  <si>
    <t>분석기준일</t>
  </si>
  <si>
    <t>2026년 2월 6일 | 데이터: OpenDART 574건 전수분석</t>
  </si>
  <si>
    <t>핵심 밸류에이션 (현재가 28,100원 기준):
• PER 7.7배(2024) / 7.0배(T4Q) — 업종 10~15배 대비 저평가
• PBR 1.36배 | EV/EBITDA 5.7배 | FCF수익률 9.1%
• 2025 9M: 매출 YoY+29%, 영업이익 YoY+69%. 연환산 매출 1.3조 역대 최고</t>
  </si>
  <si>
    <t>시나리오별 목표: Bull ~55,000원(+96%) | Base ~40,000원(+42%) | Bear ~18,500원(-34%)</t>
  </si>
  <si>
    <t>10년 연결 재무실적 (단위: 억원)</t>
  </si>
  <si>
    <t>연도</t>
  </si>
  <si>
    <t>매출액</t>
  </si>
  <si>
    <t>영업이익</t>
  </si>
  <si>
    <t>순이익</t>
  </si>
  <si>
    <t>EPS(원)</t>
  </si>
  <si>
    <t>총자산</t>
  </si>
  <si>
    <t>총부채</t>
  </si>
  <si>
    <t>총자본</t>
  </si>
  <si>
    <t>부채비율</t>
  </si>
  <si>
    <t>영업이익률</t>
  </si>
  <si>
    <t>ROE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</si>
  <si>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</si>
  <si>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</si>
  <si>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</si>
  <si>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</si>
  <si>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</si>
  <si>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</si>
  <si>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</si>
  <si>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</si>
  <si>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</si>
  <si>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</si>
  <si>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전년대비 성장률 (YoY)</t>
  </si>
  <si>
    <t>매출 YoY</t>
  </si>
  <si>
    <t>영업이익 YoY</t>
  </si>
  <si>
    <t>순이익 YoY</t>
  </si>
  <si>
    <t>2025년 분기별 잠정실적 (단위: 백만원)</t>
  </si>
  <si>
    <t>분기</t>
  </si>
  <si>
    <t>24Q1</t>
  </si>
  <si>
    <t>24Q2</t>
  </si>
  <si>
    <t>24Q3</t>
  </si>
  <si>
    <t>24Q4</t>
  </si>
  <si>
    <t>24합계</t>
  </si>
  <si>
    <t>25Q1</t>
  </si>
  <si>
    <t>25Q2</t>
  </si>
  <si>
    <t>25Q3</t>
  </si>
  <si>
    <t>25누계</t>
  </si>
  <si>
    <t>핵심 포인트</t>
  </si>
  <si>
    <t>• 9M 누적 매출 9,779억 → 2023년 연간(9,325억) 이미 초과. 역대최고 매출 확실시</t>
  </si>
  <si>
    <t>• 3Q OPM 2.2% 급락 → 계절적 제품믹스 변화 or 일회성 비용 확인 필요</t>
  </si>
  <si>
    <t>• 1Q~2Q 갤럭시S 효과로 고마진. 상반기 이익이 연간의 85% 비중</t>
  </si>
  <si>
    <t>사업부문별 매출 구조 (연결, 단위: 억원)</t>
  </si>
  <si>
    <t>구분</t>
  </si>
  <si>
    <t>비중(23)</t>
  </si>
  <si>
    <t>추세</t>
  </si>
  <si>
    <t>휴대폰용</t>
  </si>
  <si>
    <t>↓</t>
  </si>
  <si>
    <t>자동차용</t>
  </si>
  <si>
    <t>↑</t>
  </si>
  <si>
    <t>기타</t>
  </si>
  <si>
    <t>합계</t>
  </si>
  <si>
    <t>종속회사 현황 (2024)</t>
  </si>
  <si>
    <t>자회사명</t>
  </si>
  <si>
    <t>지분율</t>
  </si>
  <si>
    <t>역할</t>
  </si>
  <si>
    <t>장부가(억)</t>
  </si>
  <si>
    <t>순이익(억)</t>
  </si>
  <si>
    <t>총자산(억)</t>
  </si>
  <si>
    <t>엠씨넥스VINA(베트남)</t>
  </si>
  <si>
    <t>100%</t>
  </si>
  <si>
    <t>핵심 생산기지</t>
  </si>
  <si>
    <t>엠씨넥스상해(중국)</t>
  </si>
  <si>
    <t>수출입/CS</t>
  </si>
  <si>
    <t>엠씨넥스에프앤비</t>
  </si>
  <si>
    <t>구내식당</t>
  </si>
  <si>
    <t>배당 및 주주환원 정책</t>
  </si>
  <si>
    <t>주당배당(원)</t>
  </si>
  <si>
    <t>배당성향</t>
  </si>
  <si>
    <t>배당수익률</t>
  </si>
  <si>
    <t>비고</t>
  </si>
  <si>
    <t>17.9%</t>
  </si>
  <si>
    <t>1.17%</t>
  </si>
  <si>
    <t>-</t>
  </si>
  <si>
    <t>적자</t>
  </si>
  <si>
    <t>1.27%</t>
  </si>
  <si>
    <t>17.1%</t>
  </si>
  <si>
    <t>2.40%</t>
  </si>
  <si>
    <t>10.4%</t>
  </si>
  <si>
    <t>1.70%</t>
  </si>
  <si>
    <t>최대실적</t>
  </si>
  <si>
    <t>23.9%</t>
  </si>
  <si>
    <t>1.30%</t>
  </si>
  <si>
    <t>22.6%</t>
  </si>
  <si>
    <t>0.90%</t>
  </si>
  <si>
    <t>38.5%</t>
  </si>
  <si>
    <t>1.80%</t>
  </si>
  <si>
    <t>37.9%</t>
  </si>
  <si>
    <t>2.00%</t>
  </si>
  <si>
    <t>21.2%</t>
  </si>
  <si>
    <t>2.85%</t>
  </si>
  <si>
    <t>대폭 인상</t>
  </si>
  <si>
    <t>2025E</t>
  </si>
  <si>
    <t>3.56%</t>
  </si>
  <si>
    <t>주주환원 이벤트</t>
  </si>
  <si>
    <t>2024.07</t>
  </si>
  <si>
    <t>자기주식 취득 결정</t>
  </si>
  <si>
    <t>2024.11</t>
  </si>
  <si>
    <t>자기주식 추가 취득</t>
  </si>
  <si>
    <t>2024.12</t>
  </si>
  <si>
    <t>결산배당 주당 800원</t>
  </si>
  <si>
    <t>2025.01</t>
  </si>
  <si>
    <t>자기주식 취득</t>
  </si>
  <si>
    <t>2025.09</t>
  </si>
  <si>
    <t>2025.11</t>
  </si>
  <si>
    <t>주식 583,482주 소각 (~170억)</t>
  </si>
  <si>
    <t>2025.12</t>
  </si>
  <si>
    <t>결산배당 주당 1,000원</t>
  </si>
  <si>
    <t>주식 구조 (2024.12.31) — 현재가 28,100원 기준</t>
  </si>
  <si>
    <t>발행주식수(보통주)</t>
  </si>
  <si>
    <t>17,977,732주</t>
  </si>
  <si>
    <t>자기주식</t>
  </si>
  <si>
    <t>1,110,000주</t>
  </si>
  <si>
    <t>유통주식수</t>
  </si>
  <si>
    <t>16,867,732주</t>
  </si>
  <si>
    <t>5,052억</t>
  </si>
  <si>
    <t>유통시총</t>
  </si>
  <si>
    <t>4,740억</t>
  </si>
  <si>
    <t>최대주주(민동욱)</t>
  </si>
  <si>
    <t>4,661,000주 (25.93%)</t>
  </si>
  <si>
    <t>소액주주</t>
  </si>
  <si>
    <t>66.33% (58,267명)</t>
  </si>
  <si>
    <t>연구개발 및 특허 현황</t>
  </si>
  <si>
    <t>연구개발비 추이</t>
  </si>
  <si>
    <t>R&amp;D비용(억)</t>
  </si>
  <si>
    <t>매출대비</t>
  </si>
  <si>
    <t>3.58%</t>
  </si>
  <si>
    <t>3.82%</t>
  </si>
  <si>
    <t>3.10%</t>
  </si>
  <si>
    <t>연구인력 284명 (57.7%) | 임원15+수석107+선임106+연구원56</t>
  </si>
  <si>
    <t>특허 포트폴리오 (24건)</t>
  </si>
  <si>
    <t>취득일</t>
  </si>
  <si>
    <t>특허명/내용</t>
  </si>
  <si>
    <t>분류</t>
  </si>
  <si>
    <t>활용</t>
  </si>
  <si>
    <t>20120809</t>
  </si>
  <si>
    <t>- 본 발명은 카메라모듈내의 주요 부품인 자동초점 조절장치(Actuator)에 관한 기술임. - 액추에이터(</t>
  </si>
  <si>
    <t>액츄에이터</t>
  </si>
  <si>
    <t>20120829</t>
  </si>
  <si>
    <t xml:space="preserve">- 본 발명은 카메라모듈내의 주요 부품인 자동초점 조절장치(Actuator)에 관한 기술임. - 본 발명은 </t>
  </si>
  <si>
    <t>20121009</t>
  </si>
  <si>
    <t xml:space="preserve">본 발명은 카메라에 의해 전방 영역 이미지 촬영시, 실시간 예측되는 차량의 현재 위치 및 전방의 특정 거리 </t>
  </si>
  <si>
    <t>전장</t>
  </si>
  <si>
    <t>20121126</t>
  </si>
  <si>
    <t>- 본 발명은 카메라모듈의 주요 부품인 자동초점 조절장치(Actuator)에 관한 기술로써 헤드, 마그네트,</t>
  </si>
  <si>
    <t>20130107</t>
  </si>
  <si>
    <t>- 본 발명은 카메라모듈 내의 주요 부품인 자동초점조절 장치(Actuator)에 관한 기술 임. - Actu</t>
  </si>
  <si>
    <t>20130709</t>
  </si>
  <si>
    <t>- 본 발명은 차량 주차 안내 기술에 관한 발명으로, 차량 주차시 주차 영역간 구획선 일측에만 주차 안내바를</t>
  </si>
  <si>
    <t>20131024</t>
  </si>
  <si>
    <t>- 본 발명은 카메라모듈 제조 시 적용되는 기술로써, 카메라모듈을 소프트웨어적인 방식으로 광축 정렬하는 기술</t>
  </si>
  <si>
    <t>광학/제조</t>
  </si>
  <si>
    <t>20140108</t>
  </si>
  <si>
    <t xml:space="preserve">- 본 발명은 차량 주차 안내 기술에 관한 발명으로 차량을 경사진 주차영역에서 주차시 경사도를 고려한 주차 </t>
  </si>
  <si>
    <t>20140515</t>
  </si>
  <si>
    <t>- 본 발명은 터치 패널의 포인팅 인식장치에 관한 것으로 광의 전반사와 이미지 센서를 이용하여 접촉위치를 검</t>
  </si>
  <si>
    <t>20140521</t>
  </si>
  <si>
    <t>- 본 발명은 Actuator에 관한 기술로 카메라모듈 조립시 Actuator와 렌즈부를 일체형으로 고안하여</t>
  </si>
  <si>
    <t>20141008</t>
  </si>
  <si>
    <t>- 본 발명들(2건)은 차량 주차 안내 기술에 관한 발명으로, 표시 되는 영상 내에 차량이 목표로 하는 주차</t>
  </si>
  <si>
    <t>20141211</t>
  </si>
  <si>
    <t>- 본 발명은 스마트 보안장치에 관한 발명으로, 음장 변화를 통해 악의적 사용자의 침입 발생 여부를 감지하여</t>
  </si>
  <si>
    <t>20150319</t>
  </si>
  <si>
    <t xml:space="preserve">- 본 발명은 카메라 모듈의 광축 정렬 기술과 이에 대한 응용 기술에 관한 발명으로, 광축 정렬 및 조정시 </t>
  </si>
  <si>
    <t>20150601</t>
  </si>
  <si>
    <t>- 본 발명은 와이어 홀더를 이용한 전선의 방수구조에 관한 발명 임. - 외부에 장착된 차량용 카메라를 통해</t>
  </si>
  <si>
    <t>20150820</t>
  </si>
  <si>
    <t>- 본 발명은 카메라에 관한 발명으로 물체의 촬영시 변위와 속도 계산 등과 같은 복잡한 연산 과정이 필요 없</t>
  </si>
  <si>
    <t>20160502</t>
  </si>
  <si>
    <t>- 본 발명은 카메라 모듈 제조 시 인쇄회로기판과 이미지 센서를 이용한 제조 방법으로 광학식, 전자식 손떨림</t>
  </si>
  <si>
    <t>20180130</t>
  </si>
  <si>
    <t>- 본발명은 다수의 카메라 영상 합성시 발생하는 영상간 경계라인에 위화감(조화되지 않음)이 드는 현상을 개선</t>
  </si>
  <si>
    <t>20181002</t>
  </si>
  <si>
    <t xml:space="preserve">- 본 발명은 이동통신 단말 장치에서의 사용자 인증을 위해 홍채 기술을 적용하되, 서비스 종류에 따라 홍채 </t>
  </si>
  <si>
    <t>보안</t>
  </si>
  <si>
    <t>20181126</t>
  </si>
  <si>
    <t>- 본 발명은 타이어 압력모니터링 정보(TPMS)를 이용하여 차량용 AVM 카메라의 위치정보를 실시간으로 보</t>
  </si>
  <si>
    <t>20190419</t>
  </si>
  <si>
    <t>- 본 발명은 카메라모듈 조립시 렌즈배럴 정렬부와 커버부재 정렬부가 상호 작용하여 고체렌즈와 액체렌즈를 정밀</t>
  </si>
  <si>
    <t>20191107</t>
  </si>
  <si>
    <t>본 발명은 멀티 카메라 모듈에 관련한 것으로, 멀티 카메라 모듈의 PCB를 하나로 구현하지 않고 다수의 PC</t>
  </si>
  <si>
    <t>20201016</t>
  </si>
  <si>
    <t>본 발명은 흔들림 보정시 영상 왜곡을 방지할 수 있는 카메라에 관한 것입니다. 카메라 피사체의 이미지를 획득</t>
  </si>
  <si>
    <t>본 발명은 반도체 봉지재에 간편하게 부착하여 반도체 봉지재 제조수율을 높잎 수 있는 전사필름 반제품 및 반도</t>
  </si>
  <si>
    <t>20220511</t>
  </si>
  <si>
    <t>프리즘 방식 카메라 장치 및 그 광축 정렬 방법</t>
  </si>
  <si>
    <t xml:space="preserve">프리즘을 적용하여 높이를 낮추고 초점거리 확보를 통한 </t>
  </si>
  <si>
    <t>엠씨넥스 밸류에이션 종합 (현재가 28,100원)</t>
  </si>
  <si>
    <t>현재 주가</t>
  </si>
  <si>
    <t>28,100원</t>
  </si>
  <si>
    <t>발행주식수</t>
  </si>
  <si>
    <t>2024 EPS</t>
  </si>
  <si>
    <t>3,661원</t>
  </si>
  <si>
    <t>2024 BPS</t>
  </si>
  <si>
    <t>20,704원</t>
  </si>
  <si>
    <t>2024 DPS</t>
  </si>
  <si>
    <t>800원</t>
  </si>
  <si>
    <t>Trailing EPS</t>
  </si>
  <si>
    <t>3,994원</t>
  </si>
  <si>
    <t>ROE (2024)</t>
  </si>
  <si>
    <t>18.3%</t>
  </si>
  <si>
    <t>54.2%</t>
  </si>
  <si>
    <t>멀티플 종합</t>
  </si>
  <si>
    <t>지표</t>
  </si>
  <si>
    <t>산출 방식</t>
  </si>
  <si>
    <t>값</t>
  </si>
  <si>
    <t>판정</t>
  </si>
  <si>
    <t>업종평균(참고)</t>
  </si>
  <si>
    <t>PER (2024 확정)</t>
  </si>
  <si>
    <t>주가/EPS(3,661원)</t>
  </si>
  <si>
    <t>7.7배</t>
  </si>
  <si>
    <t>저평가</t>
  </si>
  <si>
    <t>10~15배</t>
  </si>
  <si>
    <t>확정 사업보고서</t>
  </si>
  <si>
    <t>PER (Trailing 4Q)</t>
  </si>
  <si>
    <t>주가/T4Q EPS(3,994원)</t>
  </si>
  <si>
    <t>7.0배</t>
  </si>
  <si>
    <t>24Q4+25Q1~Q3</t>
  </si>
  <si>
    <t>PER (2025E 연환산)</t>
  </si>
  <si>
    <t>주가/연환산EPS(3,273원)</t>
  </si>
  <si>
    <t>8.6배</t>
  </si>
  <si>
    <t>적정~저평가</t>
  </si>
  <si>
    <t>9M×4/3</t>
  </si>
  <si>
    <t>PER (2025E 보수적)</t>
  </si>
  <si>
    <t>주가/EPS(3,105원)</t>
  </si>
  <si>
    <t>9.0배</t>
  </si>
  <si>
    <t>적정</t>
  </si>
  <si>
    <t>Q4=Q2Q3평균</t>
  </si>
  <si>
    <t>PBR</t>
  </si>
  <si>
    <t>주가/BPS(20,704원)</t>
  </si>
  <si>
    <t>1.36배</t>
  </si>
  <si>
    <t>1.0~2.0배</t>
  </si>
  <si>
    <t>EV/EBITDA</t>
  </si>
  <si>
    <t>EV(5,150억)/EBITDA(908억)</t>
  </si>
  <si>
    <t>5.7배</t>
  </si>
  <si>
    <t>7~12배</t>
  </si>
  <si>
    <t>PSR (2024)</t>
  </si>
  <si>
    <t>시총/매출(10,571억)</t>
  </si>
  <si>
    <t>0.48배</t>
  </si>
  <si>
    <t>매우저평가</t>
  </si>
  <si>
    <t>0.5~1.5배</t>
  </si>
  <si>
    <t>PSR (Trailing)</t>
  </si>
  <si>
    <t>시총/T4Q매출(12,763억)</t>
  </si>
  <si>
    <t>0.40배</t>
  </si>
  <si>
    <t>PCR</t>
  </si>
  <si>
    <t>주가/OpCF(4,587원)</t>
  </si>
  <si>
    <t>6.1배</t>
  </si>
  <si>
    <t>8~15배</t>
  </si>
  <si>
    <t>DPS(800원)/주가</t>
  </si>
  <si>
    <t>2.8%</t>
  </si>
  <si>
    <t>양호</t>
  </si>
  <si>
    <t>1~3%</t>
  </si>
  <si>
    <t>FCF 수익률</t>
  </si>
  <si>
    <t>FCF(2,554원)/주가</t>
  </si>
  <si>
    <t>9.1%</t>
  </si>
  <si>
    <t>매우양호</t>
  </si>
  <si>
    <t>3~6%</t>
  </si>
  <si>
    <t>총주주환원율</t>
  </si>
  <si>
    <t>(배당+자사주)/시총</t>
  </si>
  <si>
    <t>5.2%</t>
  </si>
  <si>
    <t>2~5%</t>
  </si>
  <si>
    <t>순이익/평균자본</t>
  </si>
  <si>
    <t>8~15%</t>
  </si>
  <si>
    <t>PER 다각도 분석 (현재가 28,100원)</t>
  </si>
  <si>
    <t>A. EPS 산출 방식별 PER</t>
  </si>
  <si>
    <t>PER(배)</t>
  </si>
  <si>
    <t>의미</t>
  </si>
  <si>
    <t>2024 확정</t>
  </si>
  <si>
    <t>3,661</t>
  </si>
  <si>
    <t>7.68배</t>
  </si>
  <si>
    <t>확정치 기준</t>
  </si>
  <si>
    <t>사업보고서</t>
  </si>
  <si>
    <t>Trailing 4Q</t>
  </si>
  <si>
    <t>3,994</t>
  </si>
  <si>
    <t>7.04배</t>
  </si>
  <si>
    <t>직전4분기</t>
  </si>
  <si>
    <t>2025E 연환산</t>
  </si>
  <si>
    <t>3,273</t>
  </si>
  <si>
    <t>8.59배</t>
  </si>
  <si>
    <t>단순 연율화</t>
  </si>
  <si>
    <t>2025E (24Q4 대입)</t>
  </si>
  <si>
    <t>전년Q4 대입</t>
  </si>
  <si>
    <t>Q4 통상 강세</t>
  </si>
  <si>
    <t>2025E 보수적</t>
  </si>
  <si>
    <t>3,105</t>
  </si>
  <si>
    <t>9.05배</t>
  </si>
  <si>
    <t>하반기 둔화</t>
  </si>
  <si>
    <t>B. 분기별 실적 추이 (백만원)</t>
  </si>
  <si>
    <t>OPM</t>
  </si>
  <si>
    <t>YoY 순이익</t>
  </si>
  <si>
    <t>287,835</t>
  </si>
  <si>
    <t>15,204</t>
  </si>
  <si>
    <t>5.3%</t>
  </si>
  <si>
    <t>15,929</t>
  </si>
  <si>
    <t>225,759</t>
  </si>
  <si>
    <t>7,650</t>
  </si>
  <si>
    <t>3.4%</t>
  </si>
  <si>
    <t>18,422</t>
  </si>
  <si>
    <t>245,070</t>
  </si>
  <si>
    <t>3,077</t>
  </si>
  <si>
    <t>1.3%</t>
  </si>
  <si>
    <t>2,504</t>
  </si>
  <si>
    <t>298,393</t>
  </si>
  <si>
    <t>18,452</t>
  </si>
  <si>
    <t>6.2%</t>
  </si>
  <si>
    <t>26,747</t>
  </si>
  <si>
    <t>347,917</t>
  </si>
  <si>
    <t>20,918</t>
  </si>
  <si>
    <t>6.0%</t>
  </si>
  <si>
    <t>20,068</t>
  </si>
  <si>
    <t>+26.0%</t>
  </si>
  <si>
    <t>326,424</t>
  </si>
  <si>
    <t>16,171</t>
  </si>
  <si>
    <t>5.0%</t>
  </si>
  <si>
    <t>13,050</t>
  </si>
  <si>
    <t>-29.2%</t>
  </si>
  <si>
    <t>303,537</t>
  </si>
  <si>
    <t>6,708</t>
  </si>
  <si>
    <t>2.2%</t>
  </si>
  <si>
    <t>9,537</t>
  </si>
  <si>
    <t>+280.7%</t>
  </si>
  <si>
    <t>1,276,271</t>
  </si>
  <si>
    <t>62,249</t>
  </si>
  <si>
    <t>4.9%</t>
  </si>
  <si>
    <t>69,402</t>
  </si>
  <si>
    <t>C. 목표PER별 적정주가</t>
  </si>
  <si>
    <t>기준</t>
  </si>
  <si>
    <t>PER 7배</t>
  </si>
  <si>
    <t>PER 8배</t>
  </si>
  <si>
    <t>PER 10배</t>
  </si>
  <si>
    <t>PER 12배</t>
  </si>
  <si>
    <t>25,627원</t>
  </si>
  <si>
    <t>29,288원</t>
  </si>
  <si>
    <t>36,610원</t>
  </si>
  <si>
    <t>43,932원</t>
  </si>
  <si>
    <t>27,958원</t>
  </si>
  <si>
    <t>31,952원</t>
  </si>
  <si>
    <t>39,940원</t>
  </si>
  <si>
    <t>47,928원</t>
  </si>
  <si>
    <t>2025E (24Q4대입)</t>
  </si>
  <si>
    <t>21,735원</t>
  </si>
  <si>
    <t>24,840원</t>
  </si>
  <si>
    <t>31,050원</t>
  </si>
  <si>
    <t>37,260원</t>
  </si>
  <si>
    <t>→ 현재 28,100원 = Trailing EPS 기준 PER 7.0배. 목표PER 10배 시 적정가 ~39,948원</t>
  </si>
  <si>
    <t>PBR / ROE / 잔여이익모델(RIM)</t>
  </si>
  <si>
    <t>A. 연도별 BPS/ROE 추이</t>
  </si>
  <si>
    <t>자본(억)</t>
  </si>
  <si>
    <t>BPS(원)</t>
  </si>
  <si>
    <t>12,491</t>
  </si>
  <si>
    <t>37.6%</t>
  </si>
  <si>
    <t>5,151</t>
  </si>
  <si>
    <t>14,069</t>
  </si>
  <si>
    <t>16.1%</t>
  </si>
  <si>
    <t>2,180</t>
  </si>
  <si>
    <t>16,629</t>
  </si>
  <si>
    <t>14.3%</t>
  </si>
  <si>
    <t>2,229</t>
  </si>
  <si>
    <t>17,191</t>
  </si>
  <si>
    <t>7.6%</t>
  </si>
  <si>
    <t>1,293</t>
  </si>
  <si>
    <t>18,000</t>
  </si>
  <si>
    <t>8.8%</t>
  </si>
  <si>
    <t>1,585</t>
  </si>
  <si>
    <t>20,704</t>
  </si>
  <si>
    <t>B. 현재 PBR</t>
  </si>
  <si>
    <t>BPS (20,704원)</t>
  </si>
  <si>
    <t>PBR = 1.36배</t>
  </si>
  <si>
    <t>PBR 1.0배 주가</t>
  </si>
  <si>
    <t>PBR 1.5배 주가</t>
  </si>
  <si>
    <t>31,057원</t>
  </si>
  <si>
    <t>PBR 2.0배 주가</t>
  </si>
  <si>
    <t>41,409원</t>
  </si>
  <si>
    <t>C. 잔여이익모델(RIM) 적정주가</t>
  </si>
  <si>
    <t>산식: BPS × (1 + (ROE-ke)/(ke-g)) | ke=10% (무위험3.5%+β1.0×ERP6.5%)</t>
  </si>
  <si>
    <t>시나리오</t>
  </si>
  <si>
    <t>지속ROE</t>
  </si>
  <si>
    <t>ke</t>
  </si>
  <si>
    <t>성장률(g)</t>
  </si>
  <si>
    <t>적정주가</t>
  </si>
  <si>
    <t>현재가 대비</t>
  </si>
  <si>
    <t>보수적(ROE=ke)</t>
  </si>
  <si>
    <t>10%</t>
  </si>
  <si>
    <t>2%</t>
  </si>
  <si>
    <t>-26.3%</t>
  </si>
  <si>
    <t>기본(과거평균)</t>
  </si>
  <si>
    <t>12%</t>
  </si>
  <si>
    <t>25,880원</t>
  </si>
  <si>
    <t>-7.9%</t>
  </si>
  <si>
    <t>적극적(최근)</t>
  </si>
  <si>
    <t>15%</t>
  </si>
  <si>
    <t>33,645원</t>
  </si>
  <si>
    <t>+19.7%</t>
  </si>
  <si>
    <t>낙관적(ROE유지)</t>
  </si>
  <si>
    <t>18%</t>
  </si>
  <si>
    <t>3%</t>
  </si>
  <si>
    <t>44,367원</t>
  </si>
  <si>
    <t>+57.9%</t>
  </si>
  <si>
    <t>→ 기본(ROE12%) 적정가 ~25,880원. 적극적(15%) ~33,645원. 현재가는 ROE 12~15% 반영.</t>
  </si>
  <si>
    <t>EV/EBITDA &amp; FCF 밸류에이션</t>
  </si>
  <si>
    <t>A. Enterprise Value</t>
  </si>
  <si>
    <t>항목</t>
  </si>
  <si>
    <t>금액(억)</t>
  </si>
  <si>
    <t>5,051</t>
  </si>
  <si>
    <t>주가28,100×17,977,732주</t>
  </si>
  <si>
    <t>(+) 총차입금</t>
  </si>
  <si>
    <t>457</t>
  </si>
  <si>
    <t>단기444+장기13</t>
  </si>
  <si>
    <t>(-) 현금</t>
  </si>
  <si>
    <t>358</t>
  </si>
  <si>
    <t>(=) 순차입금</t>
  </si>
  <si>
    <t>98</t>
  </si>
  <si>
    <t>(=) EV</t>
  </si>
  <si>
    <t>5,150</t>
  </si>
  <si>
    <t>시총+순차입금</t>
  </si>
  <si>
    <t>B. EBITDA</t>
  </si>
  <si>
    <t>2024(억)</t>
  </si>
  <si>
    <t>443</t>
  </si>
  <si>
    <t>(+) 감가상각비</t>
  </si>
  <si>
    <t>442</t>
  </si>
  <si>
    <t>유형자산</t>
  </si>
  <si>
    <t>(+) 투자부동산상각</t>
  </si>
  <si>
    <t>4</t>
  </si>
  <si>
    <t>(+) 무형자산상각</t>
  </si>
  <si>
    <t>17</t>
  </si>
  <si>
    <t>(=) EBITDA</t>
  </si>
  <si>
    <t>908</t>
  </si>
  <si>
    <t>마진 8.6%</t>
  </si>
  <si>
    <t>C. EV/EBITDA 적정주가</t>
  </si>
  <si>
    <t>EBITDA(억)</t>
  </si>
  <si>
    <t>현재배수</t>
  </si>
  <si>
    <t>적정EV(8배)</t>
  </si>
  <si>
    <t>적정주가(8배)</t>
  </si>
  <si>
    <t>7,264억</t>
  </si>
  <si>
    <t>39,860원</t>
  </si>
  <si>
    <t>1,086</t>
  </si>
  <si>
    <t>4.7배</t>
  </si>
  <si>
    <t>8,688억</t>
  </si>
  <si>
    <t>47,781원</t>
  </si>
  <si>
    <t>1,047</t>
  </si>
  <si>
    <t>4.9배</t>
  </si>
  <si>
    <t>8,376억</t>
  </si>
  <si>
    <t>46,045원</t>
  </si>
  <si>
    <t>D. FCF &amp; 주주환원</t>
  </si>
  <si>
    <t>영업활동CF</t>
  </si>
  <si>
    <t>824</t>
  </si>
  <si>
    <t>(-) CAPEX</t>
  </si>
  <si>
    <t>365</t>
  </si>
  <si>
    <t>유형자산취득</t>
  </si>
  <si>
    <t>(=) FCF</t>
  </si>
  <si>
    <t>459</t>
  </si>
  <si>
    <t>FCF/주</t>
  </si>
  <si>
    <t>2,554원</t>
  </si>
  <si>
    <t>배당금 지급</t>
  </si>
  <si>
    <t>105</t>
  </si>
  <si>
    <t>800원/주</t>
  </si>
  <si>
    <t>156</t>
  </si>
  <si>
    <t>총 주주환원</t>
  </si>
  <si>
    <t>262</t>
  </si>
  <si>
    <t>→ FCF수익률 9.1%, 총주주환원 5.2%. 시총 대비 연간 460억 잉여현금 창출.</t>
  </si>
  <si>
    <t>시나리오별 목표주가 (현재가 28,100원)</t>
  </si>
  <si>
    <t>A. 방법론별 적정가 레인지</t>
  </si>
  <si>
    <t>방법론</t>
  </si>
  <si>
    <t>보수적</t>
  </si>
  <si>
    <t>기본</t>
  </si>
  <si>
    <t>적극적</t>
  </si>
  <si>
    <t>산출 근거</t>
  </si>
  <si>
    <t>PER 방식</t>
  </si>
  <si>
    <t>21,737원</t>
  </si>
  <si>
    <t>39,948원</t>
  </si>
  <si>
    <t>47,937원</t>
  </si>
  <si>
    <t>EPS×목표PER</t>
  </si>
  <si>
    <t>PBR 방식</t>
  </si>
  <si>
    <t>BPS×목표PBR</t>
  </si>
  <si>
    <t>29,759원</t>
  </si>
  <si>
    <t>49,961원</t>
  </si>
  <si>
    <t>EBITDA×배수</t>
  </si>
  <si>
    <t>RIM</t>
  </si>
  <si>
    <t>ROE기반</t>
  </si>
  <si>
    <t>FCF기반</t>
  </si>
  <si>
    <t>20,437원</t>
  </si>
  <si>
    <t>25,547원</t>
  </si>
  <si>
    <t>35,766원</t>
  </si>
  <si>
    <t>FCF×배수</t>
  </si>
  <si>
    <t>B. 종합 시나리오</t>
  </si>
  <si>
    <t>목표주가</t>
  </si>
  <si>
    <t>전제조건</t>
  </si>
  <si>
    <t>확률(주관)</t>
  </si>
  <si>
    <t>강세(Bull)</t>
  </si>
  <si>
    <t>55,128원</t>
  </si>
  <si>
    <t>+96.2%</t>
  </si>
  <si>
    <t>갤럭시 업사이클+전장35%+PER리레이팅</t>
  </si>
  <si>
    <t>20%</t>
  </si>
  <si>
    <t>기본(Base)</t>
  </si>
  <si>
    <t>+42.2%</t>
  </si>
  <si>
    <t>모바일유지+전장10%성장+배당확대</t>
  </si>
  <si>
    <t>50%</t>
  </si>
  <si>
    <t>약세(Bear)</t>
  </si>
  <si>
    <t>18,473원</t>
  </si>
  <si>
    <t>-34.3%</t>
  </si>
  <si>
    <t>삼성부진+전장정체+마진악화</t>
  </si>
  <si>
    <t>30%</t>
  </si>
  <si>
    <t>확률가중 기대값</t>
  </si>
  <si>
    <t>36,541원</t>
  </si>
  <si>
    <t>+30.0%</t>
  </si>
  <si>
    <t>Bull×20%+Base×50%+Bear×30%</t>
  </si>
  <si>
    <t>C. SWOT 분석</t>
  </si>
  <si>
    <t>강점 (S)</t>
  </si>
  <si>
    <t>약점 (W)</t>
  </si>
  <si>
    <t>• 삼성/현대차 핵심 공급사</t>
  </si>
  <si>
    <t>• 삼성전자 매출편중 70%+</t>
  </si>
  <si>
    <t>• 베트남 3공장 원가경쟁력</t>
  </si>
  <si>
    <t>• 조립중심 저마진 3~5%</t>
  </si>
  <si>
    <t>• 연구인력 57.7%, 특허24건</t>
  </si>
  <si>
    <t>• 자체 브랜드 부재</t>
  </si>
  <si>
    <t>• 부채비율 54% 재무건전</t>
  </si>
  <si>
    <t>• 원재료 가격 통제력 없음</t>
  </si>
  <si>
    <t>• 액츄에이터 내재화</t>
  </si>
  <si>
    <t>• 스마트폰 성숙기</t>
  </si>
  <si>
    <t>기회 (O)</t>
  </si>
  <si>
    <t>위협 (T)</t>
  </si>
  <si>
    <t>• ADAS 의무화→카메라수 증가</t>
  </si>
  <si>
    <t>• 중국 업체 추격</t>
  </si>
  <si>
    <t>• 자율주행 L3/L4 본격화</t>
  </si>
  <si>
    <t>• 삼성 모듈 내재화 가능성</t>
  </si>
  <si>
    <t>• 프리즘줌 고부가 모듈</t>
  </si>
  <si>
    <t>• 환율/인건비 상승</t>
  </si>
  <si>
    <t>• 삼성 XR 신규 카테고리</t>
  </si>
  <si>
    <t>• 글로벌 경기침체</t>
  </si>
  <si>
    <t>향후 핵심 모니터링 지표</t>
  </si>
  <si>
    <t>#</t>
  </si>
  <si>
    <t>세부 내용</t>
  </si>
  <si>
    <t>확인 시기</t>
  </si>
  <si>
    <t>1</t>
  </si>
  <si>
    <t>삼성 갤럭시 카메라 스펙/물량</t>
  </si>
  <si>
    <t>갤럭시 S/Z 카메라 화소·개수·OIS/줌 사양이 ASP와 매출 직접 결정</t>
  </si>
  <si>
    <t>1~2월, 7~8월</t>
  </si>
  <si>
    <t>2</t>
  </si>
  <si>
    <t>전장(자동차) 매출 비중</t>
  </si>
  <si>
    <t>30~40% 넘으면 밸류에이션 리레이팅. 현대차 ADAS 채택률 확인</t>
  </si>
  <si>
    <t>매 분기</t>
  </si>
  <si>
    <t>3</t>
  </si>
  <si>
    <t>분기별 영업이익률</t>
  </si>
  <si>
    <t>2~3%=저수익|4~5%=양호|6%+=호황. 원재료·환율·믹스가 핵심</t>
  </si>
  <si>
    <t>2/5/8/11월</t>
  </si>
  <si>
    <t>베트남 VINA 실적</t>
  </si>
  <si>
    <t>연결순이익 ~50% 창출. 가동률/수율/인건비 모니터링</t>
  </si>
  <si>
    <t>연간</t>
  </si>
  <si>
    <t>5</t>
  </si>
  <si>
    <t>자기주식/배당 정책</t>
  </si>
  <si>
    <t>적극적 주주환원(배당증가+자사주+소각) 지속 여부</t>
  </si>
  <si>
    <t>3월 주총, 수시</t>
  </si>
  <si>
    <t>모니터링 캘린더</t>
  </si>
  <si>
    <t>시기</t>
  </si>
  <si>
    <t>이벤트</t>
  </si>
  <si>
    <t>중요도</t>
  </si>
  <si>
    <t>1~2월</t>
  </si>
  <si>
    <t>갤럭시S 언팩 (카메라사양)</t>
  </si>
  <si>
    <t>★★★</t>
  </si>
  <si>
    <t>2월</t>
  </si>
  <si>
    <t>4Q+연간 잠정실적</t>
  </si>
  <si>
    <t>3월</t>
  </si>
  <si>
    <t>사업보고서/주총/배당정책</t>
  </si>
  <si>
    <t>5월</t>
  </si>
  <si>
    <t>1Q 잠정실적</t>
  </si>
  <si>
    <t>★★☆</t>
  </si>
  <si>
    <t>7~8월</t>
  </si>
  <si>
    <t>갤럭시Z 언팩+2Q실적</t>
  </si>
  <si>
    <t>11월</t>
  </si>
  <si>
    <t>3Q 잠정실적</t>
  </si>
  <si>
    <t>12월</t>
  </si>
  <si>
    <t>결산배당 결정</t>
  </si>
  <si>
    <t>수시</t>
  </si>
  <si>
    <t>자기주식 취득/소각</t>
  </si>
  <si>
    <t>★☆☆</t>
  </si>
  <si>
    <t>ADAS 로드맵</t>
  </si>
  <si>
    <t>주요 이벤트 히스토리</t>
  </si>
  <si>
    <t>일자</t>
  </si>
  <si>
    <t>유형</t>
  </si>
  <si>
    <t>내용</t>
  </si>
  <si>
    <t>20251208</t>
  </si>
  <si>
    <t>배당결정</t>
  </si>
  <si>
    <t>현금ㆍ현물배당 결정 1. 배당구분 결산배당 2. 배당종류 현금배당 - 현물자산의 상세내역 - 3. 1주당 배당금(원) 보통주식</t>
  </si>
  <si>
    <t>20251120</t>
  </si>
  <si>
    <t>대량보유</t>
  </si>
  <si>
    <t xml:space="preserve">주식등의 대량보유상황보고서 (일반서식 : 자본시장과 금융투자업에 관한 법률 제147조에 의한 보고 중 '경영권에 영향을 주기 </t>
  </si>
  <si>
    <t>20251110</t>
  </si>
  <si>
    <t>주식소각</t>
  </si>
  <si>
    <t xml:space="preserve">주식 소각 결정 1. 소각할 주식의 종류와 수 보통주식 (주) 583,482 종류주식 (주) - 2. 발행주식 총수 보통주식 </t>
  </si>
  <si>
    <t>20250925</t>
  </si>
  <si>
    <t>주요사항보고서 / 거래소 신고의무 사항 금융위원회 / 한국거래소 귀중 2025 년 09 월 25 일 회 사 명 : 주식회사 엠</t>
  </si>
  <si>
    <t>20250612</t>
  </si>
  <si>
    <t>20250509</t>
  </si>
  <si>
    <t>20250211</t>
  </si>
  <si>
    <t>매출변동</t>
  </si>
  <si>
    <t>매출액 또는 손익구조 30%(대규모법인 15%)이상 변경 ※ 동 정보는 동사가 작성한 결산자료로서, 외부감사인의 감사결과 수치</t>
  </si>
  <si>
    <t>20250120</t>
  </si>
  <si>
    <t>주요사항보고서 / 거래소 신고의무 사항 금융위원회 / 한국거래소 귀중 2025 년 01 월 20 일 회 사 명 : 주식회사 엠</t>
  </si>
  <si>
    <t>20241216</t>
  </si>
  <si>
    <t>20241118</t>
  </si>
  <si>
    <t>20241104</t>
  </si>
  <si>
    <t>주요사항보고서 / 거래소 신고의무 사항 금융위원회 / 한국거래소 귀중 2024 년 11 월 4 일 회 사 명 : 주식회사 엠씨</t>
  </si>
  <si>
    <t>20240708</t>
  </si>
  <si>
    <t>주요사항보고서 / 거래소 신고의무 사항 금융위원회 / 한국거래소 귀중 2024년 7월 8일 회 사 명 : 주식회사 엠씨넥스 대</t>
  </si>
  <si>
    <t>20240619</t>
  </si>
  <si>
    <t>20240527</t>
  </si>
  <si>
    <t>20240314</t>
  </si>
  <si>
    <t>주요사항보고서 / 거래소 신고의무 사항 금융위원회 / 한국거래소 귀중 2024년 03월 14일 회 사 명 : 주식회사 엠씨넥스</t>
  </si>
  <si>
    <t>20240223</t>
  </si>
  <si>
    <t>20231215</t>
  </si>
  <si>
    <t>20231017</t>
  </si>
  <si>
    <t>20230825</t>
  </si>
  <si>
    <t>20230704</t>
  </si>
  <si>
    <t xml:space="preserve">주식등의 대량보유상황보고서 (약식서식 : 자본시장과 금융투자업에 관한 법률 제147조에 의한 보고 중 '경영권에 영향을 주기 </t>
  </si>
  <si>
    <t>엠씨넥스(MCNEX) 투자 구루 분석</t>
  </si>
  <si>
    <t>Four Filters 종합 대시보드  |  현재가 28,100원  |  2026.02.06 기준</t>
  </si>
  <si>
    <t>A. Four Filters 스코어카드 (100점 만점)</t>
  </si>
  <si>
    <t>필터</t>
  </si>
  <si>
    <t>소항목1</t>
  </si>
  <si>
    <t>소항목2</t>
  </si>
  <si>
    <t>소항목3</t>
  </si>
  <si>
    <t>소항목4</t>
  </si>
  <si>
    <t>소항목5</t>
  </si>
  <si>
    <t>소계</t>
  </si>
  <si>
    <t>F1: 사업 이해도</t>
  </si>
  <si>
    <t>21/25</t>
  </si>
  <si>
    <t>F2: 경제적 해자</t>
  </si>
  <si>
    <t>18/25</t>
  </si>
  <si>
    <t>F3: 경영진 품질</t>
  </si>
  <si>
    <t>20/25</t>
  </si>
  <si>
    <t>F4: 안전마진</t>
  </si>
  <si>
    <t>19/25</t>
  </si>
  <si>
    <t>종합점수</t>
  </si>
  <si>
    <t>78/100 (등급: B)</t>
  </si>
  <si>
    <t>B. 투자 테제</t>
  </si>
  <si>
    <t>엠씨넥스는 삼성전자 CCM 핵심 공급사+현대모비스 전장 카메라 성장이라는 이중 성장축을 가진 기술 부품기업으로, 오너경영진의 적극적 주주환원(배당인상+자사주소각)이 확인되며, 현재 PER 7.0배(T4Q)는 한국 부품업 평균 대비 저평가 영역. FCF 수익률 9.1%로 현금창출력 대비 매력적.</t>
  </si>
  <si>
    <t>C. 핵심 강점 vs 리스크</t>
  </si>
  <si>
    <t>핵심 강점 (3)</t>
  </si>
  <si>
    <t>핵심 리스크 (3)</t>
  </si>
  <si>
    <t xml:space="preserve">  1. 삼성·현대 핵심 공급사 지위 (전환비용 해자)</t>
  </si>
  <si>
    <t xml:space="preserve">  1. 삼성전자 매출 편중 ~70% (단일 고객 리스크)</t>
  </si>
  <si>
    <t xml:space="preserve">  2. 적극적 주주환원: 배당인상+자사주매입/소각</t>
  </si>
  <si>
    <t xml:space="preserve">  2. 조립 중심 저마진(OPM 3~5%) 사업 구조</t>
  </si>
  <si>
    <t xml:space="preserve">  3. 전장(자동차) 카메라 비중 확대 → 밸류에이션 리레이팅 잠재력</t>
  </si>
  <si>
    <t xml:space="preserve">  3. 중국 업체 추격 + 삼성 모듈 내재화 가능성</t>
  </si>
  <si>
    <t>D. 필터별 소항목 상세</t>
  </si>
  <si>
    <t>평가 근거</t>
  </si>
  <si>
    <t>점수</t>
  </si>
  <si>
    <t>Filter 1: 사업 이해도</t>
  </si>
  <si>
    <t>사업모델 단순성</t>
  </si>
  <si>
    <t>CCM+전장 카메라, 2개 사업부</t>
  </si>
  <si>
    <t>높음</t>
  </si>
  <si>
    <t>4/5</t>
  </si>
  <si>
    <t>매출구조 명확성</t>
  </si>
  <si>
    <t>모바일70%+전장25%+기타5%</t>
  </si>
  <si>
    <t>10년 일관성</t>
  </si>
  <si>
    <t>2004년 설립 이래 카메라모듈 일관</t>
  </si>
  <si>
    <t>5/5</t>
  </si>
  <si>
    <t>기술변화 예측성</t>
  </si>
  <si>
    <t>카메라 고화소·다안화 트렌드 명확</t>
  </si>
  <si>
    <t>보통</t>
  </si>
  <si>
    <t>해외법인 이해도</t>
  </si>
  <si>
    <t>베트남VINA 3공장, 연결의 핵심</t>
  </si>
  <si>
    <t>Filter 2: 경제적 해자</t>
  </si>
  <si>
    <t>전환비용</t>
  </si>
  <si>
    <t>삼성/현대 인증 2~3년, 공급사 교체 어려움</t>
  </si>
  <si>
    <t>강함</t>
  </si>
  <si>
    <t>비용우위</t>
  </si>
  <si>
    <t>베트남 3공장, 원가경쟁력</t>
  </si>
  <si>
    <t>3/5</t>
  </si>
  <si>
    <t>무형자산(기술)</t>
  </si>
  <si>
    <t>특허24건, R&amp;D인력57.7%, 액츄에이터 내재화</t>
  </si>
  <si>
    <t>규모의 경제</t>
  </si>
  <si>
    <t>국내 CCM 1~2위, 전장 카메라 성장</t>
  </si>
  <si>
    <t>수익성 지속성</t>
  </si>
  <si>
    <t>GPM 10.8%, OPM 4.2% (부품업 평균 수준)</t>
  </si>
  <si>
    <t>Filter 3: 경영진 품질</t>
  </si>
  <si>
    <t>오너 지분율</t>
  </si>
  <si>
    <t>민동욱 25.93% - 적정 수준</t>
  </si>
  <si>
    <t>보수 합리성</t>
  </si>
  <si>
    <t>연 524M원 - 과도하지 않음</t>
  </si>
  <si>
    <t>자사주 정책</t>
  </si>
  <si>
    <t>2024 75만주 취득, 2025 58만주 소각</t>
  </si>
  <si>
    <t>우수</t>
  </si>
  <si>
    <t>배당 인상</t>
  </si>
  <si>
    <t>500→600→800원, 꾸준한 인상 추세</t>
  </si>
  <si>
    <t>소통/IR</t>
  </si>
  <si>
    <t>정기공시 충실, 밸류업 방향 일치</t>
  </si>
  <si>
    <t>Filter 4: 안전마진</t>
  </si>
  <si>
    <t>PER 수준</t>
  </si>
  <si>
    <t>확정 7.7배 / T4Q 7.0배 (기준 8~12배)</t>
  </si>
  <si>
    <t>PBR 수준</t>
  </si>
  <si>
    <t>1.36배 (기준 0.8~1.5배)</t>
  </si>
  <si>
    <t>9.1% (기준 &gt;5%)</t>
  </si>
  <si>
    <t>5.7배 (기준 6~10배)</t>
  </si>
  <si>
    <t>Owner Earnings 대비</t>
  </si>
  <si>
    <t>OE 735억, OE배수 6.9배</t>
  </si>
  <si>
    <t>경제적 해자(Economic Moat) 분석</t>
  </si>
  <si>
    <t>A. 해자 유형 판정</t>
  </si>
  <si>
    <t>해자 유형</t>
  </si>
  <si>
    <t>보유 여부</t>
  </si>
  <si>
    <t>강도</t>
  </si>
  <si>
    <t>근거</t>
  </si>
  <si>
    <t>지속가능성</t>
  </si>
  <si>
    <t>O</t>
  </si>
  <si>
    <t>베트남 VINA 3공장 원가경쟁력</t>
  </si>
  <si>
    <t>5년+</t>
  </si>
  <si>
    <t>삼성/현대 인증 2~3년, 공급사 교체 비용 높음</t>
  </si>
  <si>
    <t>10년+</t>
  </si>
  <si>
    <t>네트워크 효과</t>
  </si>
  <si>
    <t>X</t>
  </si>
  <si>
    <t>없음</t>
  </si>
  <si>
    <t>B2B 사업 구조상 해당 없음</t>
  </si>
  <si>
    <t>특허 24건, R&amp;D 인력 57.7%, 액츄에이터 내재화</t>
  </si>
  <si>
    <t>△</t>
  </si>
  <si>
    <t>국내 CCM 1~2위이나 글로벌 경쟁 치열</t>
  </si>
  <si>
    <t>3~5년</t>
  </si>
  <si>
    <t>B. 수익성 추이 (5년)</t>
  </si>
  <si>
    <t>매출액(억)</t>
  </si>
  <si>
    <t>매출총이익(억)</t>
  </si>
  <si>
    <t>GPM</t>
  </si>
  <si>
    <t>영업이익(억)</t>
  </si>
  <si>
    <t>ROIC</t>
  </si>
  <si>
    <t>9.8%</t>
  </si>
  <si>
    <t>4.5%</t>
  </si>
  <si>
    <t>18.2%</t>
  </si>
  <si>
    <t>2.4%</t>
  </si>
  <si>
    <t>6.7%</t>
  </si>
  <si>
    <t>1.0%</t>
  </si>
  <si>
    <t>2.7%</t>
  </si>
  <si>
    <t>8.3%</t>
  </si>
  <si>
    <t>2.0%</t>
  </si>
  <si>
    <t>4.4%</t>
  </si>
  <si>
    <t>매출 저점</t>
  </si>
  <si>
    <t>10.8%</t>
  </si>
  <si>
    <t>4.2%</t>
  </si>
  <si>
    <t>9.3%</t>
  </si>
  <si>
    <t>역대 최고 매출</t>
  </si>
  <si>
    <t>C. R&amp;D 투자 및 특허</t>
  </si>
  <si>
    <t>연구인력 284명</t>
  </si>
  <si>
    <t>특허 포트폴리오: 총 24건 — 액츄에이터, 전장카메라(AVM), 광학모듈 등</t>
  </si>
  <si>
    <t>- 본 발명은 카메라모듈내의 주요 부품인 자동초점 조절장치(Actuator)에 관한 기술임</t>
  </si>
  <si>
    <t xml:space="preserve">본 발명은 카메라에 의해 전방 영역 이미지 촬영시, 실시간 예측되는 차량의 현재 위치 및 </t>
  </si>
  <si>
    <t>- 본 발명은 카메라모듈의 주요 부품인 자동초점 조절장치(Actuator)에 관한 기술로써</t>
  </si>
  <si>
    <t>- 본 발명은 카메라모듈 내의 주요 부품인 자동초점조절 장치(Actuator)에 관한 기술</t>
  </si>
  <si>
    <t>- 본 발명은 차량 주차 안내 기술에 관한 발명으로, 차량 주차시 주차 영역간 구획선 일측</t>
  </si>
  <si>
    <t xml:space="preserve">- 본 발명은 카메라모듈 제조 시 적용되는 기술로써, 카메라모듈을 소프트웨어적인 방식으로 </t>
  </si>
  <si>
    <t>- 본 발명은 차량 주차 안내 기술에 관한 발명으로 차량을 경사진 주차영역에서 주차시 경사</t>
  </si>
  <si>
    <t>- 본 발명은 터치 패널의 포인팅 인식장치에 관한 것으로 광의 전반사와 이미지 센서를 이용</t>
  </si>
  <si>
    <t xml:space="preserve">- 본 발명은 Actuator에 관한 기술로 카메라모듈 조립시 Actuator와 렌즈부를 </t>
  </si>
  <si>
    <t>- 본 발명들(2건)은 차량 주차 안내 기술에 관한 발명으로, 표시 되는 영상 내에 차량이</t>
  </si>
  <si>
    <t>- 본 발명은 스마트 보안장치에 관한 발명으로, 음장 변화를 통해 악의적 사용자의 침입 발</t>
  </si>
  <si>
    <t>... 외 12건</t>
  </si>
  <si>
    <t>D. 해자 종합 평가</t>
  </si>
  <si>
    <t>해자 폭</t>
  </si>
  <si>
    <t>Narrow ~ Medium (전환비용 + 기술력 기반)</t>
  </si>
  <si>
    <t>해자 추세</t>
  </si>
  <si>
    <t>확대 중 (전장 비중 증가 → 고객 다변화)</t>
  </si>
  <si>
    <t>핵심 해자</t>
  </si>
  <si>
    <t>삼성·현대 공급사 인증 (전환비용) + 액츄에이터 내재화 (기술)</t>
  </si>
  <si>
    <t>위협 요인</t>
  </si>
  <si>
    <t>중국 업체 추격, 삼성 모듈 내재화 가능성</t>
  </si>
  <si>
    <t>결론</t>
  </si>
  <si>
    <t>전환비용 기반 Narrow Moat 보유. 전장 확대 시 해자 강화 가능</t>
  </si>
  <si>
    <t>경영진 평가 (Management Quality)</t>
  </si>
  <si>
    <t>A. 등기임원 명단 (2024년 사업보고서 기준)</t>
  </si>
  <si>
    <t>성명</t>
  </si>
  <si>
    <t>직위</t>
  </si>
  <si>
    <t>등기임원</t>
  </si>
  <si>
    <t>상근여부</t>
  </si>
  <si>
    <t>민동욱</t>
  </si>
  <si>
    <t>최선희</t>
  </si>
  <si>
    <t>민성희</t>
  </si>
  <si>
    <t>민혜성</t>
  </si>
  <si>
    <t>계</t>
  </si>
  <si>
    <t>B. 대표이사 보수 추이</t>
  </si>
  <si>
    <t>총보수</t>
  </si>
  <si>
    <t>대표이사</t>
  </si>
  <si>
    <t>549</t>
  </si>
  <si>
    <t>531,000,000원</t>
  </si>
  <si>
    <t>(월 ~44,250,000원)</t>
  </si>
  <si>
    <t>566,000,000원</t>
  </si>
  <si>
    <t>(월 ~47,166,666원)</t>
  </si>
  <si>
    <t>504,000,000원</t>
  </si>
  <si>
    <t>(월 ~42,000,000원)</t>
  </si>
  <si>
    <t>524,000,000원</t>
  </si>
  <si>
    <t>(월 ~43,666,666원)</t>
  </si>
  <si>
    <t>C. 오너경영 체크리스트</t>
  </si>
  <si>
    <t>평가 항목</t>
  </si>
  <si>
    <t>현황</t>
  </si>
  <si>
    <t>대표이사 지분율</t>
  </si>
  <si>
    <t>25.93% (4,661,000주)</t>
  </si>
  <si>
    <t>20~30% 적정 범위 내</t>
  </si>
  <si>
    <t>경영 안정성</t>
  </si>
  <si>
    <t>2004년 설립 이래 민동욱 대표 체제</t>
  </si>
  <si>
    <t>창업자 오너경영 20년+</t>
  </si>
  <si>
    <t>연 524M원 (2024)</t>
  </si>
  <si>
    <t>순이익 636억 대비 0.8%</t>
  </si>
  <si>
    <t>자사주 매입/소각</t>
  </si>
  <si>
    <t>2024 75만주 매입, 2025 58만주 소각</t>
  </si>
  <si>
    <t>적극적 주주환원 의지</t>
  </si>
  <si>
    <t>배당 정책</t>
  </si>
  <si>
    <t>500→600→800원 연속 인상</t>
  </si>
  <si>
    <t>배당성향 21% (한국 기준 적정)</t>
  </si>
  <si>
    <t>6</t>
  </si>
  <si>
    <t>일감 몰아주기</t>
  </si>
  <si>
    <t>구내식당 자회사(엠씨넥스F&amp;B) 외 특이사항 없음</t>
  </si>
  <si>
    <t>사익편취 리스크 낮음</t>
  </si>
  <si>
    <t>7</t>
  </si>
  <si>
    <t>소통</t>
  </si>
  <si>
    <t>정기공시 충실, 잠정실적 공시</t>
  </si>
  <si>
    <t>별도 IR 활동은 제한적</t>
  </si>
  <si>
    <t>D. 주식 구조 및 자사주 현황</t>
  </si>
  <si>
    <t>1,110,000주 (6.2%)</t>
  </si>
  <si>
    <t>최대주주(민동욱 외)</t>
  </si>
  <si>
    <t>E. 경영진 종합 평가</t>
  </si>
  <si>
    <t>오너십 점수</t>
  </si>
  <si>
    <t>4/5 (주주와 이해관계 일치하는 오너경영)</t>
  </si>
  <si>
    <t>자본배분 점수</t>
  </si>
  <si>
    <t>4/5 (배당인상+자사주매입소각 병행)</t>
  </si>
  <si>
    <t>투명성 점수</t>
  </si>
  <si>
    <t>3/5 (공시 충실하나 별도 주주서한 등 없음)</t>
  </si>
  <si>
    <t>승계 리스크</t>
  </si>
  <si>
    <t>보통 (민동욱 대표 장기 체제, 후계 계획 미공개)</t>
  </si>
  <si>
    <t>주주 친화적 오너경영. 자본배분 개선 추세 뚜렷.</t>
  </si>
  <si>
    <t>자본배분 이력 (Capital Allocation History)</t>
  </si>
  <si>
    <t>A. 배당 추이</t>
  </si>
  <si>
    <t>배당성향(%)</t>
  </si>
  <si>
    <t>변화</t>
  </si>
  <si>
    <t>재개</t>
  </si>
  <si>
    <t>적자 무배당</t>
  </si>
  <si>
    <t>-321.8%</t>
  </si>
  <si>
    <t>최대실적 배당</t>
  </si>
  <si>
    <t>→</t>
  </si>
  <si>
    <t>인상 (+20%)</t>
  </si>
  <si>
    <t>대폭 인상 (+33%)</t>
  </si>
  <si>
    <t>예상 (배당수익률 3.6%)</t>
  </si>
  <si>
    <t>B. 자기주식 매입/처분/소각 이력</t>
  </si>
  <si>
    <t>기초(주)</t>
  </si>
  <si>
    <t>취득(주)</t>
  </si>
  <si>
    <t>처분(주)</t>
  </si>
  <si>
    <t>소각(주)</t>
  </si>
  <si>
    <t>기말(주)</t>
  </si>
  <si>
    <t>2013</t>
  </si>
  <si>
    <t>125,000</t>
  </si>
  <si>
    <t>2014</t>
  </si>
  <si>
    <t>176,910</t>
  </si>
  <si>
    <t>63,000</t>
  </si>
  <si>
    <t>238,910</t>
  </si>
  <si>
    <t>230,000</t>
  </si>
  <si>
    <t>87,000</t>
  </si>
  <si>
    <t>143,000</t>
  </si>
  <si>
    <t>150,277</t>
  </si>
  <si>
    <t>293,277</t>
  </si>
  <si>
    <t>적극 매입</t>
  </si>
  <si>
    <t>257,000</t>
  </si>
  <si>
    <t>190,277</t>
  </si>
  <si>
    <t>360,000</t>
  </si>
  <si>
    <t>750,000</t>
  </si>
  <si>
    <t>1,110,000</t>
  </si>
  <si>
    <t>2025</t>
  </si>
  <si>
    <t>583,482</t>
  </si>
  <si>
    <t>2025.11 소각 결정</t>
  </si>
  <si>
    <t>C. 주주환원 이벤트 타임라인</t>
  </si>
  <si>
    <t>이벤트 유형</t>
  </si>
  <si>
    <t>2024.03</t>
  </si>
  <si>
    <t>자기주식 취득 결정 (추가)</t>
  </si>
  <si>
    <t>배당</t>
  </si>
  <si>
    <t>결산배당 주당 800원 결정</t>
  </si>
  <si>
    <t>자기주식 583,482주 소각 (~170억)</t>
  </si>
  <si>
    <t>결산배당 주당 1,000원 결정</t>
  </si>
  <si>
    <t>D. 유상증자/전환사채 이력 (주요)</t>
  </si>
  <si>
    <t>변동사유</t>
  </si>
  <si>
    <t>주식종류</t>
  </si>
  <si>
    <t>수량(주)</t>
  </si>
  <si>
    <t>2005.01.08</t>
  </si>
  <si>
    <t>유상증자(주주배정)</t>
  </si>
  <si>
    <t>보통주</t>
  </si>
  <si>
    <t>300,000</t>
  </si>
  <si>
    <t>2005.08.10</t>
  </si>
  <si>
    <t>258,000</t>
  </si>
  <si>
    <t>2005.08.18</t>
  </si>
  <si>
    <t>2,000</t>
  </si>
  <si>
    <t>2005.09.30</t>
  </si>
  <si>
    <t>전환권행사</t>
  </si>
  <si>
    <t>199,999</t>
  </si>
  <si>
    <t>2006.05.16</t>
  </si>
  <si>
    <t>유상증자(제3자배정)</t>
  </si>
  <si>
    <t>우선주</t>
  </si>
  <si>
    <t>185,454</t>
  </si>
  <si>
    <t>2006.07.01</t>
  </si>
  <si>
    <t>90,909</t>
  </si>
  <si>
    <t>2006.11.17</t>
  </si>
  <si>
    <t>70,000</t>
  </si>
  <si>
    <t>2008.04.19</t>
  </si>
  <si>
    <t>131,500</t>
  </si>
  <si>
    <t>2008.07.12</t>
  </si>
  <si>
    <t>90,900</t>
  </si>
  <si>
    <t>2008.09.27</t>
  </si>
  <si>
    <t>181,810</t>
  </si>
  <si>
    <t>2008.11.14</t>
  </si>
  <si>
    <t>2010.04.26</t>
  </si>
  <si>
    <t>763,832</t>
  </si>
  <si>
    <t>636,528</t>
  </si>
  <si>
    <t>2011.01.27</t>
  </si>
  <si>
    <t>172,998</t>
  </si>
  <si>
    <t>144,166</t>
  </si>
  <si>
    <t>2011.02.24</t>
  </si>
  <si>
    <t>107,001</t>
  </si>
  <si>
    <t>89,168</t>
  </si>
  <si>
    <t>2011.12.26</t>
  </si>
  <si>
    <t>751,704</t>
  </si>
  <si>
    <t>626,420</t>
  </si>
  <si>
    <t>2012.07.20</t>
  </si>
  <si>
    <t>유상증자(일반공모)</t>
  </si>
  <si>
    <t>800,000</t>
  </si>
  <si>
    <t>2012.07.26</t>
  </si>
  <si>
    <t>130,908</t>
  </si>
  <si>
    <t>109,090</t>
  </si>
  <si>
    <t>2017.12.27</t>
  </si>
  <si>
    <t>상환전환우선주</t>
  </si>
  <si>
    <t>2,040,103</t>
  </si>
  <si>
    <t>2018.01.19</t>
  </si>
  <si>
    <t>97,650</t>
  </si>
  <si>
    <t>2018.02.07</t>
  </si>
  <si>
    <t>60,313</t>
  </si>
  <si>
    <t>2018.03.13</t>
  </si>
  <si>
    <t>40,209</t>
  </si>
  <si>
    <t>2018.11.16</t>
  </si>
  <si>
    <t>105,983</t>
  </si>
  <si>
    <t>264,625</t>
  </si>
  <si>
    <t>2019.01.18</t>
  </si>
  <si>
    <t>67,442</t>
  </si>
  <si>
    <t>2019.01.22</t>
  </si>
  <si>
    <t>19,269</t>
  </si>
  <si>
    <t>2019.02.12</t>
  </si>
  <si>
    <t>2019.02.15</t>
  </si>
  <si>
    <t>134,887</t>
  </si>
  <si>
    <t>2019.03.21</t>
  </si>
  <si>
    <t>161,216</t>
  </si>
  <si>
    <t>2019.05.02</t>
  </si>
  <si>
    <t>3,060,154</t>
  </si>
  <si>
    <t>2019.06.17</t>
  </si>
  <si>
    <t>118,026</t>
  </si>
  <si>
    <t>2019.11.05</t>
  </si>
  <si>
    <t>E. 자본배분 점수카드</t>
  </si>
  <si>
    <t>배당 일관성</t>
  </si>
  <si>
    <t>10년 중 1년(2016) 무배당 외 연속 배당, 최근 3년 연속 인상</t>
  </si>
  <si>
    <t>매입+소각 병행 실행 — 한국 기업 중 드문 적극성</t>
  </si>
  <si>
    <t>유상증자/CB</t>
  </si>
  <si>
    <t>최근 희석 이벤트 없음</t>
  </si>
  <si>
    <t>투자(CAPEX)</t>
  </si>
  <si>
    <t>CAPEX/영업CF 44% — 성장투자와 주주환원 균형</t>
  </si>
  <si>
    <t>5.2% (배당+자사주) — 업종 상위</t>
  </si>
  <si>
    <t>수익성 품질 분석 (Earnings Quality)</t>
  </si>
  <si>
    <t>A. DuPont 3단계 분해 (5년)</t>
  </si>
  <si>
    <t>순이익률</t>
  </si>
  <si>
    <t>자산회전율</t>
  </si>
  <si>
    <t>레버리지</t>
  </si>
  <si>
    <t>ROE (산식확인)</t>
  </si>
  <si>
    <t>2.9%</t>
  </si>
  <si>
    <t>2.89회</t>
  </si>
  <si>
    <t>1.79배</t>
  </si>
  <si>
    <t>15.2%</t>
  </si>
  <si>
    <t>3.9%</t>
  </si>
  <si>
    <t>1.92회</t>
  </si>
  <si>
    <t>1.76배</t>
  </si>
  <si>
    <t>13.2%</t>
  </si>
  <si>
    <t>2.1%</t>
  </si>
  <si>
    <t>2.06회</t>
  </si>
  <si>
    <t>1.74배</t>
  </si>
  <si>
    <t>7.4%</t>
  </si>
  <si>
    <t>3.0%</t>
  </si>
  <si>
    <t>1.74회</t>
  </si>
  <si>
    <t>1.66배</t>
  </si>
  <si>
    <t>8.6%</t>
  </si>
  <si>
    <t>1.84회</t>
  </si>
  <si>
    <t>1.54배</t>
  </si>
  <si>
    <t>5년 평균 ROE: 12.3% | 판정: 양호 (&gt;10%)</t>
  </si>
  <si>
    <t>B. FCF 대 순이익 비율 (현금이익 품질)</t>
  </si>
  <si>
    <t>영업CF(억)</t>
  </si>
  <si>
    <t>CAPEX(억)</t>
  </si>
  <si>
    <t>FCF(억)</t>
  </si>
  <si>
    <t>FCF/NI</t>
  </si>
  <si>
    <t>-64%</t>
  </si>
  <si>
    <t>경고</t>
  </si>
  <si>
    <t>136%</t>
  </si>
  <si>
    <t>29%</t>
  </si>
  <si>
    <t>42%</t>
  </si>
  <si>
    <t>72%</t>
  </si>
  <si>
    <t>주의</t>
  </si>
  <si>
    <t>C. 발생액 비율 (Accrual Ratio)</t>
  </si>
  <si>
    <t>발생액 비율 = (순이익 - 영업CF) / 총자산  |  ±5% 이내 양호, ±10% 초과 경고</t>
  </si>
  <si>
    <t>차이(억)</t>
  </si>
  <si>
    <t>발생액비율</t>
  </si>
  <si>
    <t>-10.1%</t>
  </si>
  <si>
    <t>-18.4%</t>
  </si>
  <si>
    <t>-3.5%</t>
  </si>
  <si>
    <t>-3.3%</t>
  </si>
  <si>
    <t>D. 이익 변동성 (Earnings Volatility)</t>
  </si>
  <si>
    <t>영업이익 평균 (5년)</t>
  </si>
  <si>
    <t>312억</t>
  </si>
  <si>
    <t>영업이익 표준편차</t>
  </si>
  <si>
    <t>199억</t>
  </si>
  <si>
    <t>변동계수 (CV)</t>
  </si>
  <si>
    <t>0.64</t>
  </si>
  <si>
    <t>높은 변동성</t>
  </si>
  <si>
    <t>&lt;0.3 안정 / 0.3~0.6 보통 / &gt;0.6 높음</t>
  </si>
  <si>
    <t>E. 수익성 품질 종합</t>
  </si>
  <si>
    <t>DuPont 분석</t>
  </si>
  <si>
    <t>평균 ROE 12.3% — 순이익률 개선이 ROE 드라이버. 레버리지 적정(1.5~1.7배)</t>
  </si>
  <si>
    <t>FCF 품질</t>
  </si>
  <si>
    <t>영업CF &gt; 순이익 (현금이익 우수). 2020년 CAPEX 과다 외 양호</t>
  </si>
  <si>
    <t>발생액</t>
  </si>
  <si>
    <t>대부분 ±5% 이내 — 이익의 현금 뒷받침 양호</t>
  </si>
  <si>
    <t>이익 변동성</t>
  </si>
  <si>
    <t>CV 0.64 — 경기민감주 특성. 삼성 갤럭시 사이클에 연동</t>
  </si>
  <si>
    <t>이익 품질 양호. 현금창출력이 회계이익을 뒷받침. 단, 삼성 사이클 의존으로 변동성 존재</t>
  </si>
  <si>
    <t>내재가치 &amp; 안전마진 분석</t>
  </si>
  <si>
    <t>A. Owner Earnings (버핏 방식)</t>
  </si>
  <si>
    <t>주당(원)</t>
  </si>
  <si>
    <t>636</t>
  </si>
  <si>
    <t>3,537</t>
  </si>
  <si>
    <t>464</t>
  </si>
  <si>
    <t>2,584</t>
  </si>
  <si>
    <t>유형+투자부동산+무형</t>
  </si>
  <si>
    <t>2,032</t>
  </si>
  <si>
    <t>유형자산 취득</t>
  </si>
  <si>
    <t>(=) Owner Earnings</t>
  </si>
  <si>
    <t>735</t>
  </si>
  <si>
    <t>4,089</t>
  </si>
  <si>
    <t>버핏이 보는 진정한 이익</t>
  </si>
  <si>
    <t>현재 시총/Owner Earnings = 6.9배  |  Owner Earnings 수익률 = 14.6%</t>
  </si>
  <si>
    <t>B. 자산가치 (BPS 기반)</t>
  </si>
  <si>
    <t>BPS</t>
  </si>
  <si>
    <t>현재 PBR</t>
  </si>
  <si>
    <t>PBR 0.8배 (하단)</t>
  </si>
  <si>
    <t>16,563원</t>
  </si>
  <si>
    <t>PBR 1.0배</t>
  </si>
  <si>
    <t>PBR 1.5배 (상단)</t>
  </si>
  <si>
    <t>C. PER/PBR 밴드 (과거 vs 현재)</t>
  </si>
  <si>
    <t>PER(현재가)</t>
  </si>
  <si>
    <t>PBR(현재가)</t>
  </si>
  <si>
    <t>5.5배</t>
  </si>
  <si>
    <t>2.25배</t>
  </si>
  <si>
    <t>12.9배</t>
  </si>
  <si>
    <t>2.00배</t>
  </si>
  <si>
    <t>12.6배</t>
  </si>
  <si>
    <t>1.69배</t>
  </si>
  <si>
    <t>21.7배</t>
  </si>
  <si>
    <t>1.63배</t>
  </si>
  <si>
    <t>17.7배</t>
  </si>
  <si>
    <t>1.56배</t>
  </si>
  <si>
    <t>D. 시나리오별 적정주가</t>
  </si>
  <si>
    <t>적정가</t>
  </si>
  <si>
    <t>전제</t>
  </si>
  <si>
    <t>PER 7배 × 보수EPS</t>
  </si>
  <si>
    <t>25,165원</t>
  </si>
  <si>
    <t>-10.4%</t>
  </si>
  <si>
    <t>EPS 3,595원 × 7배</t>
  </si>
  <si>
    <t>BPS × 0.8배</t>
  </si>
  <si>
    <t>-41.1%</t>
  </si>
  <si>
    <t>PBR 하단</t>
  </si>
  <si>
    <t>PER 10배 × T4Q EPS</t>
  </si>
  <si>
    <t>+42.1%</t>
  </si>
  <si>
    <t>EPS 3,994원 × 10배</t>
  </si>
  <si>
    <t>RIM (ROE 12%)</t>
  </si>
  <si>
    <t>ke=10%, g=2%</t>
  </si>
  <si>
    <t>낙관적</t>
  </si>
  <si>
    <t>PER 12배 × T4Q EPS</t>
  </si>
  <si>
    <t>+70.6%</t>
  </si>
  <si>
    <t>EPS 3,994원 × 12배</t>
  </si>
  <si>
    <t>OE × 12배</t>
  </si>
  <si>
    <t>49,075원</t>
  </si>
  <si>
    <t>+74.6%</t>
  </si>
  <si>
    <t>Owner Earnings 기반</t>
  </si>
  <si>
    <t>E. 안전마진 테스트</t>
  </si>
  <si>
    <t>보수적 내재가치</t>
  </si>
  <si>
    <t>20,864원</t>
  </si>
  <si>
    <t>안전마진 -34.7%</t>
  </si>
  <si>
    <t>하방 리스크 확인</t>
  </si>
  <si>
    <t>현재가 28,100원</t>
  </si>
  <si>
    <t>기본 내재가치</t>
  </si>
  <si>
    <t>32,910원</t>
  </si>
  <si>
    <t>안전마진 +14.6%</t>
  </si>
  <si>
    <t>낙관적 내재가치</t>
  </si>
  <si>
    <t>48,501원</t>
  </si>
  <si>
    <t>안전마진 +42.1%</t>
  </si>
  <si>
    <t>업사이드</t>
  </si>
  <si>
    <t>→ 기본 시나리오 기준 상승 여력 존재. 보수적 시나리오에서도 큰 하방 리스크 제한적. 안전마진: 기본 내재가치(32,910원) 대비 +14.6%</t>
  </si>
  <si>
    <t>최종 투자 판정</t>
  </si>
  <si>
    <t>A. 최종 판정</t>
  </si>
  <si>
    <t>BUY (매수)</t>
  </si>
  <si>
    <t>Four Filters 종합 78/100 (등급 B)
PER 7.0배(T4Q) | PBR 1.36배 | FCF Yield 9.1% | 총주주환원 5.2%</t>
  </si>
  <si>
    <t>B. 판정 근거</t>
  </si>
  <si>
    <t>매수 근거 1</t>
  </si>
  <si>
    <t>전환비용 기반 해자: 삼성·현대 핵심 공급사 지위는 2~3년 인증 과정으로 보호</t>
  </si>
  <si>
    <t>매수 근거 2</t>
  </si>
  <si>
    <t>적극적 주주환원: 배당 연속인상(500→800원) + 자사주 매입·소각 병행</t>
  </si>
  <si>
    <t>매수 근거 3</t>
  </si>
  <si>
    <t>밸류에이션 매력: PER 7.0배(T4Q), FCF Yield 9.1% — 한국 부품업 평균 대비 저평가</t>
  </si>
  <si>
    <t>매수 근거 4</t>
  </si>
  <si>
    <t>전장(자동차) 비중 확대: ADAS 의무화 → 차량당 카메라 수 증가 → 성장 구조적</t>
  </si>
  <si>
    <t>주의 사항 1</t>
  </si>
  <si>
    <t>삼성전자 매출 편중 ~70% — 갤럭시 부진 시 직접적 타격</t>
  </si>
  <si>
    <t>주의 사항 2</t>
  </si>
  <si>
    <t>구조적 저마진(OPM 3~5%) — 원가 상승기에 수익성 급락 리스크</t>
  </si>
  <si>
    <t>주의 사항 3</t>
  </si>
  <si>
    <t>중국 CCM 업체 가격 경쟁 심화 — 중장기 해자 약화 가능성</t>
  </si>
  <si>
    <t>C. 구루 관점 SWOT</t>
  </si>
  <si>
    <t>강점 (Strengths)</t>
  </si>
  <si>
    <t>약점 (Weaknesses)</t>
  </si>
  <si>
    <t xml:space="preserve">  삼성/현대 핵심 공급사 (전환비용 해자)</t>
  </si>
  <si>
    <t xml:space="preserve">  삼성 매출 편중 70%+ (단일 고객)</t>
  </si>
  <si>
    <t xml:space="preserve">  오너경영 + 적극적 주주환원</t>
  </si>
  <si>
    <t xml:space="preserve">  조립 중심 저마진 3~5%</t>
  </si>
  <si>
    <t xml:space="preserve">  베트남 3공장 원가경쟁력</t>
  </si>
  <si>
    <t xml:space="preserve">  스마트폰 성숙기 시장</t>
  </si>
  <si>
    <t xml:space="preserve">  R&amp;D인력 57.7% + 특허 24건</t>
  </si>
  <si>
    <t xml:space="preserve">  자체 브랜드 없는 OEM 구조</t>
  </si>
  <si>
    <t>기회 (Opportunities)</t>
  </si>
  <si>
    <t>위협 (Threats)</t>
  </si>
  <si>
    <t xml:space="preserve">  ADAS 의무화 → 차량당 카메라 증가</t>
  </si>
  <si>
    <t xml:space="preserve">  중국 CCM 업체 가격 경쟁</t>
  </si>
  <si>
    <t xml:space="preserve">  전장 비중 30%+ 시 밸류에이션 리레이팅</t>
  </si>
  <si>
    <t xml:space="preserve">  삼성 모듈 내재화 가능성</t>
  </si>
  <si>
    <t xml:space="preserve">  프리즘줌·XR 고부가 신사업</t>
  </si>
  <si>
    <t xml:space="preserve">  환율/인건비 상승 압박</t>
  </si>
  <si>
    <t xml:space="preserve">  밸류업 프로그램 → 주주환원 강화</t>
  </si>
  <si>
    <t xml:space="preserve">  글로벌 경기침체 → 스마트폰 수요 감소</t>
  </si>
  <si>
    <t>D. 핵심 모니터링 지표 (5개)</t>
  </si>
  <si>
    <t>구루 관점</t>
  </si>
  <si>
    <t>삼성 갤럭시 카메라 사양</t>
  </si>
  <si>
    <t>화소·개수·OIS/줌이 ASP와 매출 직접 결정</t>
  </si>
  <si>
    <t>해자 유지 여부 확인</t>
  </si>
  <si>
    <t>전장 매출 비중</t>
  </si>
  <si>
    <t>30%+ 넘으면 밸류에이션 리레이팅. ADAS 채택률</t>
  </si>
  <si>
    <t>해자 확대 여부</t>
  </si>
  <si>
    <t>영업이익률 추이</t>
  </si>
  <si>
    <t>3% 미만=경고, 4~5%=양호, 6%+=호황</t>
  </si>
  <si>
    <t>분기 실적</t>
  </si>
  <si>
    <t>수익성 품질</t>
  </si>
  <si>
    <t>자사주/배당 정책</t>
  </si>
  <si>
    <t>매입·소각·배당인상 지속 여부</t>
  </si>
  <si>
    <t>경영진 신뢰</t>
  </si>
  <si>
    <t>중국 업체 동향</t>
  </si>
  <si>
    <t>LG이노텍/삼성전기 대비 점유율 변화</t>
  </si>
  <si>
    <t>반기</t>
  </si>
  <si>
    <t>해자 위협</t>
  </si>
  <si>
    <t>E. 매도 트리거 조건</t>
  </si>
  <si>
    <t xml:space="preserve">  삼성전자 CCM 공급사 변경 or 내재화 본격화</t>
  </si>
  <si>
    <t>해자 붕괴 → 즉시 매도</t>
  </si>
  <si>
    <t xml:space="preserve">  영업이익률 2년 연속 2% 미만</t>
  </si>
  <si>
    <t>구조적 수익성 훼손</t>
  </si>
  <si>
    <t xml:space="preserve">  ROE 3년 연속 5% 미만</t>
  </si>
  <si>
    <t>자본비용 미달 → 가치 파괴</t>
  </si>
  <si>
    <t xml:space="preserve">  유상증자/CB 발행 (비합리적 사유)</t>
  </si>
  <si>
    <t>주주 희석 → 경영진 신뢰 하락</t>
  </si>
  <si>
    <t xml:space="preserve">  PER 15배+ (한국 부품업 기준 과열)</t>
  </si>
  <si>
    <t>안전마진 소멸</t>
  </si>
  <si>
    <t>F. 리스크 시나리오 (최악의 경우)</t>
  </si>
  <si>
    <t>최악 시나리오: 삼성전자가 CCM 모듈 내재화를 본격 추진 + 중국 업체가 전장 카메라 시장 진입
→ 모바일 매출 50% 감소 + 전장 성장 정체
→ 매출 5,000억, 영업이익 100억(OPM 2%), 순이익 80억, EPS ~450원
→ PER 7배 적용 시 주가 ~3,150원 (현재가 대비 -89%). 이 시나리오 확률: 5% 미만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</si>
</sst>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3" x14ac:knownFonts="1">
    <font>
      <sz val="11"/>
      <color theme="1"/>
      <name val="맑은 고딕"/>
      <family val="2"/>
      <scheme val="minor"/>
    </font>
    <font>
      <b/>
      <sz val="32"/>
      <color rgb="FFFFFFFF"/>
      <name val="맑은 고딕"/>
      <family val="3"/>
      <charset val="129"/>
    </font>
    <font>
      <sz val="18"/>
      <color rgb="FFD4A843"/>
      <name val="맑은 고딕"/>
      <family val="3"/>
      <charset val="129"/>
    </font>
    <font>
      <sz val="11"/>
      <color rgb="FFB0C4DE"/>
      <name val="맑은 고딕"/>
      <family val="3"/>
      <charset val="129"/>
    </font>
    <font>
      <sz val="11"/>
      <color rgb="FF8899A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D4A843"/>
      <name val="맑은 고딕"/>
      <family val="3"/>
      <charset val="129"/>
    </font>
    <font>
      <b/>
      <sz val="10"/>
      <color rgb="FFAED6F1"/>
      <name val="맑은 고딕"/>
      <family val="3"/>
      <charset val="129"/>
    </font>
    <font>
      <b/>
      <sz val="14"/>
      <color rgb="FF1B2A4A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392B"/>
      <name val="맑은 고딕"/>
      <family val="3"/>
      <charset val="129"/>
    </font>
    <font>
      <b/>
      <sz val="10"/>
      <color rgb="FF27AE60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0"/>
      <color rgb="FF3A5BA0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2E86C1"/>
      <name val="맑은 고딕"/>
      <family val="3"/>
      <charset val="129"/>
    </font>
    <font>
      <b/>
      <sz val="12"/>
      <color rgb="FF27AE60"/>
      <name val="맑은 고딕"/>
      <family val="3"/>
      <charset val="129"/>
    </font>
    <font>
      <b/>
      <sz val="12"/>
      <color rgb="FF1B2A4A"/>
      <name val="맑은 고딕"/>
      <family val="3"/>
      <charset val="129"/>
    </font>
    <font>
      <b/>
      <sz val="12"/>
      <color rgb="FFC0392B"/>
      <name val="맑은 고딕"/>
      <family val="3"/>
      <charset val="129"/>
    </font>
    <font>
      <b/>
      <sz val="24"/>
      <color rgb="FFFFFFFF"/>
      <name val="맑은 고딕"/>
      <family val="3"/>
      <charset val="129"/>
    </font>
    <font>
      <b/>
      <sz val="11"/>
      <color rgb="FF27AE60"/>
      <name val="맑은 고딕"/>
      <family val="3"/>
      <charset val="129"/>
    </font>
    <font>
      <b/>
      <sz val="11"/>
      <color rgb="FF1B2A4A"/>
      <name val="맑은 고딕"/>
      <family val="3"/>
      <charset val="129"/>
    </font>
    <font>
      <b/>
      <sz val="14"/>
      <color rgb="FF27AE60"/>
      <name val="맑은 고딕"/>
      <family val="3"/>
      <charset val="129"/>
    </font>
    <font>
      <b/>
      <sz val="10"/>
      <color rgb="FF1B2A4A"/>
      <name val="맑은 고딕"/>
      <family val="3"/>
      <charset val="129"/>
    </font>
    <font>
      <b/>
      <sz val="11"/>
      <color rgb="FF3A5BA0"/>
      <name val="맑은 고딕"/>
      <family val="3"/>
      <charset val="129"/>
    </font>
    <font>
      <b/>
      <sz val="10"/>
      <color rgb="FF8E44AD"/>
      <name val="맑은 고딕"/>
      <family val="3"/>
      <charset val="129"/>
    </font>
    <font>
      <b/>
      <sz val="22"/>
      <color rgb="FFFFFFFF"/>
      <name val="맑은 고딕"/>
      <family val="3"/>
      <charset val="129"/>
    </font>
    <font>
      <b/>
      <sz val="20"/>
      <color rgb="FF27AE60"/>
      <name val="맑은 고딕"/>
      <family val="3"/>
      <charset val="129"/>
    </font>
    <font>
      <sz val="10"/>
      <color rgb="FFC0392B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6B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EBF1F8"/>
      </patternFill>
    </fill>
    <fill>
      <patternFill patternType="solid">
        <fgColor rgb="FFD6EAF8"/>
      </patternFill>
    </fill>
    <fill>
      <patternFill patternType="solid">
        <fgColor rgb="FFF2F2F2"/>
      </patternFill>
    </fill>
    <fill>
      <patternFill patternType="solid">
        <fgColor rgb="FFF8D7DA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2980B9"/>
      </patternFill>
    </fill>
    <fill>
      <patternFill patternType="solid">
        <fgColor rgb="FF7F8C8D"/>
      </patternFill>
    </fill>
    <fill>
      <patternFill patternType="solid">
        <fgColor rgb="FFE5E7E9"/>
      </patternFill>
    </fill>
    <fill>
      <patternFill patternType="solid">
        <fgColor rgb="FFFDE8E8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1B2A4A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1B2A4A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 style="medium">
        <color rgb="FF1B2A4A"/>
      </top>
      <bottom/>
      <diagonal/>
    </border>
    <border>
      <left/>
      <right/>
      <top style="medium">
        <color rgb="FF1B2A4A"/>
      </top>
      <bottom/>
      <diagonal/>
    </border>
    <border>
      <left style="thin">
        <color rgb="FFD9D9D9"/>
      </left>
      <right/>
      <top style="medium">
        <color rgb="FF1B2A4A"/>
      </top>
      <bottom style="thin">
        <color rgb="FFD9D9D9"/>
      </bottom>
      <diagonal/>
    </border>
    <border>
      <left/>
      <right/>
      <top style="medium">
        <color rgb="FF1B2A4A"/>
      </top>
      <bottom style="thin">
        <color rgb="FFD9D9D9"/>
      </bottom>
      <diagonal/>
    </border>
    <border>
      <left/>
      <right style="thin">
        <color rgb="FFD9D9D9"/>
      </right>
      <top style="medium">
        <color rgb="FF1B2A4A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medium">
        <color rgb="FF1B2A4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2" borderId="0" xfId="0" applyFill="1"/>
    <xf numFmtId="0" fontId="9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right" vertical="center"/>
    </xf>
    <xf numFmtId="176" fontId="11" fillId="5" borderId="2" xfId="0" applyNumberFormat="1" applyFont="1" applyFill="1" applyBorder="1" applyAlignment="1">
      <alignment horizontal="right" vertical="center"/>
    </xf>
    <xf numFmtId="3" fontId="12" fillId="5" borderId="2" xfId="0" applyNumberFormat="1" applyFont="1" applyFill="1" applyBorder="1" applyAlignment="1">
      <alignment horizontal="right" vertical="center"/>
    </xf>
    <xf numFmtId="176" fontId="11" fillId="0" borderId="2" xfId="0" applyNumberFormat="1" applyFont="1" applyBorder="1" applyAlignment="1">
      <alignment horizontal="right" vertical="center"/>
    </xf>
    <xf numFmtId="0" fontId="11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right" vertical="center"/>
    </xf>
    <xf numFmtId="176" fontId="10" fillId="6" borderId="2" xfId="0" applyNumberFormat="1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center" vertical="center" wrapText="1"/>
    </xf>
    <xf numFmtId="3" fontId="11" fillId="7" borderId="2" xfId="0" applyNumberFormat="1" applyFont="1" applyFill="1" applyBorder="1" applyAlignment="1">
      <alignment horizontal="right" vertical="center"/>
    </xf>
    <xf numFmtId="176" fontId="11" fillId="7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right" vertical="center"/>
    </xf>
    <xf numFmtId="0" fontId="17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right" vertical="center"/>
    </xf>
    <xf numFmtId="0" fontId="14" fillId="0" borderId="0" xfId="0" applyFont="1"/>
    <xf numFmtId="0" fontId="12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right" vertical="center"/>
    </xf>
    <xf numFmtId="0" fontId="9" fillId="12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right" vertical="center"/>
    </xf>
    <xf numFmtId="0" fontId="11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right" vertical="center"/>
    </xf>
    <xf numFmtId="0" fontId="20" fillId="9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right" vertical="center"/>
    </xf>
    <xf numFmtId="0" fontId="28" fillId="7" borderId="2" xfId="0" applyFont="1" applyFill="1" applyBorder="1" applyAlignment="1">
      <alignment horizontal="right" vertical="center"/>
    </xf>
    <xf numFmtId="0" fontId="28" fillId="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3" fontId="17" fillId="6" borderId="2" xfId="0" applyNumberFormat="1" applyFont="1" applyFill="1" applyBorder="1" applyAlignment="1">
      <alignment horizontal="right" vertical="center"/>
    </xf>
    <xf numFmtId="3" fontId="13" fillId="5" borderId="2" xfId="0" applyNumberFormat="1" applyFont="1" applyFill="1" applyBorder="1" applyAlignment="1">
      <alignment horizontal="right" vertical="center"/>
    </xf>
    <xf numFmtId="0" fontId="17" fillId="5" borderId="2" xfId="0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top" wrapText="1"/>
    </xf>
    <xf numFmtId="0" fontId="8" fillId="0" borderId="1" xfId="0" applyFont="1" applyBorder="1"/>
    <xf numFmtId="0" fontId="0" fillId="0" borderId="3" xfId="0" applyBorder="1"/>
    <xf numFmtId="0" fontId="11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10" fillId="0" borderId="2" xfId="0" applyFont="1" applyBorder="1" applyAlignment="1">
      <alignment horizontal="left" vertical="center" wrapText="1"/>
    </xf>
    <xf numFmtId="0" fontId="15" fillId="0" borderId="0" xfId="0" applyFont="1"/>
    <xf numFmtId="0" fontId="16" fillId="2" borderId="0" xfId="0" applyFont="1" applyFill="1" applyAlignment="1">
      <alignment horizontal="center" vertical="center" wrapText="1"/>
    </xf>
    <xf numFmtId="0" fontId="10" fillId="0" borderId="0" xfId="0" applyFont="1"/>
    <xf numFmtId="0" fontId="11" fillId="7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1" fillId="16" borderId="2" xfId="0" applyFont="1" applyFill="1" applyBorder="1" applyAlignment="1">
      <alignment horizontal="left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8" fillId="0" borderId="8" xfId="0" applyFont="1" applyBorder="1"/>
    <xf numFmtId="0" fontId="27" fillId="8" borderId="2" xfId="0" applyFont="1" applyFill="1" applyBorder="1"/>
    <xf numFmtId="0" fontId="22" fillId="2" borderId="0" xfId="0" applyFont="1" applyFill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4" fillId="0" borderId="0" xfId="0" applyFont="1"/>
    <xf numFmtId="0" fontId="12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0" fillId="7" borderId="2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31" fillId="17" borderId="2" xfId="0" applyFont="1" applyFill="1" applyBorder="1" applyAlignment="1">
      <alignment horizontal="left" vertical="top" wrapText="1"/>
    </xf>
    <xf numFmtId="0" fontId="0" fillId="0" borderId="12" xfId="0" applyBorder="1"/>
    <xf numFmtId="0" fontId="11" fillId="5" borderId="12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top" wrapText="1"/>
    </xf>
    <xf numFmtId="0" fontId="26" fillId="0" borderId="15" xfId="0" applyFont="1" applyBorder="1" applyAlignment="1">
      <alignment horizontal="center" vertical="top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A1:G24"/>
  <sheetViews>
    <sheetView workbookViewId="0">
      <selection activeCell="G11" sqref="G11"/>
    </sheetView>
  </sheetViews>
  <sheetFormatPr defaultRowHeight="16.5" x14ac:dyDescent="0.3"/>
  <cols>
    <col min="1" max="1" width="3" customWidth="1"/>
    <col min="2" max="6" width="20" customWidth="1"/>
    <col min="7" max="7" width="3" customWidth="1"/>
  </cols>
  <sheetData>
    <row r="1" spans="1:7" ht="49.5" x14ac:dyDescent="0.3">
      <c r="A1" s="1"/>
      <c r="B1" s="80" t="s">
        <v>0</v>
      </c>
      <c r="C1" s="75"/>
      <c r="D1" s="75"/>
      <c r="E1" s="75"/>
      <c r="F1" s="75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78" t="s">
        <v>1</v>
      </c>
      <c r="C3" s="75"/>
      <c r="D3" s="75"/>
      <c r="E3" s="75"/>
      <c r="F3" s="75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77" t="s">
        <v>2</v>
      </c>
      <c r="C6" s="75"/>
      <c r="D6" s="75"/>
      <c r="E6" s="75"/>
      <c r="F6" s="75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74" t="s">
        <v>3</v>
      </c>
      <c r="C9" s="75"/>
      <c r="D9" s="76" t="s">
        <v>4</v>
      </c>
      <c r="E9" s="75"/>
      <c r="F9" s="75"/>
      <c r="G9" s="1"/>
    </row>
    <row r="10" spans="1:7" x14ac:dyDescent="0.3">
      <c r="A10" s="1"/>
      <c r="B10" s="74" t="s">
        <v>5</v>
      </c>
      <c r="C10" s="75"/>
      <c r="D10" s="76" t="s">
        <v>6</v>
      </c>
      <c r="E10" s="75"/>
      <c r="F10" s="75"/>
      <c r="G10" s="1"/>
    </row>
    <row r="11" spans="1:7" x14ac:dyDescent="0.3">
      <c r="A11" s="1"/>
      <c r="B11" s="74" t="s">
        <v>7</v>
      </c>
      <c r="C11" s="75"/>
      <c r="D11" s="76" t="s">
        <v>8</v>
      </c>
      <c r="E11" s="75"/>
      <c r="F11" s="75"/>
      <c r="G11" s="1"/>
    </row>
    <row r="12" spans="1:7" x14ac:dyDescent="0.3">
      <c r="A12" s="1"/>
      <c r="B12" s="74" t="s">
        <v>9</v>
      </c>
      <c r="C12" s="75"/>
      <c r="D12" s="76" t="s">
        <v>10</v>
      </c>
      <c r="E12" s="75"/>
      <c r="F12" s="75"/>
      <c r="G12" s="1"/>
    </row>
    <row r="13" spans="1:7" x14ac:dyDescent="0.3">
      <c r="A13" s="1"/>
      <c r="B13" s="74" t="s">
        <v>11</v>
      </c>
      <c r="C13" s="75"/>
      <c r="D13" s="76" t="s">
        <v>12</v>
      </c>
      <c r="E13" s="75"/>
      <c r="F13" s="75"/>
      <c r="G13" s="1"/>
    </row>
    <row r="14" spans="1:7" x14ac:dyDescent="0.3">
      <c r="A14" s="1"/>
      <c r="B14" s="74" t="s">
        <v>13</v>
      </c>
      <c r="C14" s="75"/>
      <c r="D14" s="76" t="s">
        <v>14</v>
      </c>
      <c r="E14" s="75"/>
      <c r="F14" s="75"/>
      <c r="G14" s="1"/>
    </row>
    <row r="15" spans="1:7" x14ac:dyDescent="0.3">
      <c r="A15" s="1"/>
      <c r="B15" s="74" t="s">
        <v>15</v>
      </c>
      <c r="C15" s="75"/>
      <c r="D15" s="76" t="s">
        <v>16</v>
      </c>
      <c r="E15" s="75"/>
      <c r="F15" s="75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81" t="s">
        <v>17</v>
      </c>
      <c r="C18" s="75"/>
      <c r="D18" s="75"/>
      <c r="E18" s="75"/>
      <c r="F18" s="75"/>
      <c r="G18" s="1"/>
    </row>
    <row r="19" spans="1:7" x14ac:dyDescent="0.3">
      <c r="A19" s="1"/>
      <c r="B19" s="75"/>
      <c r="C19" s="75"/>
      <c r="D19" s="75"/>
      <c r="E19" s="75"/>
      <c r="F19" s="75"/>
      <c r="G19" s="1"/>
    </row>
    <row r="20" spans="1:7" x14ac:dyDescent="0.3">
      <c r="A20" s="1"/>
      <c r="B20" s="75"/>
      <c r="C20" s="75"/>
      <c r="D20" s="75"/>
      <c r="E20" s="75"/>
      <c r="F20" s="75"/>
      <c r="G20" s="1"/>
    </row>
    <row r="21" spans="1:7" x14ac:dyDescent="0.3">
      <c r="A21" s="1"/>
      <c r="B21" s="75"/>
      <c r="C21" s="75"/>
      <c r="D21" s="75"/>
      <c r="E21" s="75"/>
      <c r="F21" s="75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79" t="s">
        <v>18</v>
      </c>
      <c r="C23" s="75"/>
      <c r="D23" s="75"/>
      <c r="E23" s="75"/>
      <c r="F23" s="75"/>
      <c r="G23" s="1"/>
    </row>
    <row r="24" spans="1:7" x14ac:dyDescent="0.3">
      <c r="A24" s="1"/>
      <c r="B24" s="1"/>
      <c r="C24" s="1"/>
      <c r="D24" s="1"/>
      <c r="E24" s="1"/>
      <c r="F24" s="1"/>
      <c r="G24" s="1"/>
    </row>
  </sheetData>
  <mergeCells count="19">
    <mergeCell ref="B23:F23"/>
    <mergeCell ref="D15:F15"/>
    <mergeCell ref="D14:F14"/>
    <mergeCell ref="B1:F1"/>
    <mergeCell ref="B10:C10"/>
    <mergeCell ref="B15:C15"/>
    <mergeCell ref="B18:F21"/>
    <mergeCell ref="B3:F3"/>
    <mergeCell ref="B12:C12"/>
    <mergeCell ref="D10:F10"/>
    <mergeCell ref="D9:F9"/>
    <mergeCell ref="B14:C14"/>
    <mergeCell ref="B11:C11"/>
    <mergeCell ref="D12:F12"/>
    <mergeCell ref="B13:C13"/>
    <mergeCell ref="D11:F11"/>
    <mergeCell ref="B6:F6"/>
    <mergeCell ref="D13:F13"/>
    <mergeCell ref="B9:C9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6B"/>
    <pageSetUpPr fitToPage="1"/>
  </sheetPr>
  <dimension ref="A1:K26"/>
  <sheetViews>
    <sheetView workbookViewId="0">
      <selection sqref="A1:K1"/>
    </sheetView>
  </sheetViews>
  <sheetFormatPr defaultRowHeight="16.5" x14ac:dyDescent="0.3"/>
  <cols>
    <col min="1" max="4" width="14" customWidth="1"/>
    <col min="5" max="5" width="12" customWidth="1"/>
    <col min="6" max="8" width="14" customWidth="1"/>
    <col min="9" max="10" width="12" customWidth="1"/>
    <col min="11" max="11" width="14" customWidth="1"/>
  </cols>
  <sheetData>
    <row r="1" spans="1:11" ht="20.25" x14ac:dyDescent="0.35">
      <c r="A1" s="82" t="s">
        <v>19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3" spans="1:1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x14ac:dyDescent="0.3">
      <c r="A4" s="3" t="s">
        <v>31</v>
      </c>
      <c r="B4" s="4">
        <v>5028</v>
      </c>
      <c r="C4" s="4">
        <v>262</v>
      </c>
      <c r="D4" s="4">
        <v>161</v>
      </c>
      <c r="E4" s="4">
        <v>1833</v>
      </c>
      <c r="F4" s="4">
        <v>2725</v>
      </c>
      <c r="G4" s="4">
        <v>1815</v>
      </c>
      <c r="H4" s="4">
        <v>910</v>
      </c>
      <c r="I4" s="5">
        <f t="shared" ref="I4:I13" si="0">G4/H4</f>
        <v>1.9945054945054945</v>
      </c>
      <c r="J4" s="5">
        <f t="shared" ref="J4:J13" si="1">C4/B4</f>
        <v>5.2108194112967382E-2</v>
      </c>
      <c r="K4" s="5">
        <f>D4/H4</f>
        <v>0.17692307692307693</v>
      </c>
    </row>
    <row r="5" spans="1:11" x14ac:dyDescent="0.3">
      <c r="A5" s="3" t="s">
        <v>32</v>
      </c>
      <c r="B5" s="4">
        <v>4124</v>
      </c>
      <c r="C5" s="6">
        <v>-239</v>
      </c>
      <c r="D5" s="6">
        <v>-247</v>
      </c>
      <c r="E5" s="4">
        <v>-2824</v>
      </c>
      <c r="F5" s="4">
        <v>2946</v>
      </c>
      <c r="G5" s="4">
        <v>2310</v>
      </c>
      <c r="H5" s="4">
        <v>636</v>
      </c>
      <c r="I5" s="5">
        <f t="shared" si="0"/>
        <v>3.6320754716981134</v>
      </c>
      <c r="J5" s="5">
        <f t="shared" si="1"/>
        <v>-5.7953443258971872E-2</v>
      </c>
      <c r="K5" s="5">
        <f t="shared" ref="K5:K13" si="2">D5/((H5+H4)/2)</f>
        <v>-0.31953428201811124</v>
      </c>
    </row>
    <row r="6" spans="1:11" x14ac:dyDescent="0.3">
      <c r="A6" s="3" t="s">
        <v>33</v>
      </c>
      <c r="B6" s="4">
        <v>6684</v>
      </c>
      <c r="C6" s="4">
        <v>196</v>
      </c>
      <c r="D6" s="6">
        <v>-9</v>
      </c>
      <c r="E6" s="4">
        <v>-100</v>
      </c>
      <c r="F6" s="4">
        <v>3877</v>
      </c>
      <c r="G6" s="4">
        <v>2897</v>
      </c>
      <c r="H6" s="4">
        <v>980</v>
      </c>
      <c r="I6" s="5">
        <f t="shared" si="0"/>
        <v>2.9561224489795919</v>
      </c>
      <c r="J6" s="5">
        <f t="shared" si="1"/>
        <v>2.9323758228605626E-2</v>
      </c>
      <c r="K6" s="5">
        <f t="shared" si="2"/>
        <v>-1.1138613861386138E-2</v>
      </c>
    </row>
    <row r="7" spans="1:11" x14ac:dyDescent="0.3">
      <c r="A7" s="3" t="s">
        <v>34</v>
      </c>
      <c r="B7" s="4">
        <v>6969</v>
      </c>
      <c r="C7" s="4">
        <v>411</v>
      </c>
      <c r="D7" s="4">
        <v>298</v>
      </c>
      <c r="E7" s="4">
        <v>2161</v>
      </c>
      <c r="F7" s="4">
        <v>3910</v>
      </c>
      <c r="G7" s="4">
        <v>2613</v>
      </c>
      <c r="H7" s="4">
        <v>1297</v>
      </c>
      <c r="I7" s="5">
        <f t="shared" si="0"/>
        <v>2.0146491904394757</v>
      </c>
      <c r="J7" s="5">
        <f t="shared" si="1"/>
        <v>5.897546276366767E-2</v>
      </c>
      <c r="K7" s="5">
        <f t="shared" si="2"/>
        <v>0.26174791392182695</v>
      </c>
    </row>
    <row r="8" spans="1:11" x14ac:dyDescent="0.3">
      <c r="A8" s="3" t="s">
        <v>35</v>
      </c>
      <c r="B8" s="4">
        <v>12677</v>
      </c>
      <c r="C8" s="4">
        <v>1130</v>
      </c>
      <c r="D8" s="4">
        <v>845</v>
      </c>
      <c r="E8" s="4">
        <v>5151</v>
      </c>
      <c r="F8" s="4">
        <v>4765</v>
      </c>
      <c r="G8" s="4">
        <v>2520</v>
      </c>
      <c r="H8" s="4">
        <v>2245</v>
      </c>
      <c r="I8" s="5">
        <f t="shared" si="0"/>
        <v>1.1224944320712695</v>
      </c>
      <c r="J8" s="5">
        <f t="shared" si="1"/>
        <v>8.9137808629802001E-2</v>
      </c>
      <c r="K8" s="5">
        <f t="shared" si="2"/>
        <v>0.47713156408808582</v>
      </c>
    </row>
    <row r="9" spans="1:11" x14ac:dyDescent="0.3">
      <c r="A9" s="3" t="s">
        <v>36</v>
      </c>
      <c r="B9" s="4">
        <v>13113</v>
      </c>
      <c r="C9" s="4">
        <v>591</v>
      </c>
      <c r="D9" s="4">
        <v>384</v>
      </c>
      <c r="E9" s="4">
        <v>2180</v>
      </c>
      <c r="F9" s="4">
        <v>4533</v>
      </c>
      <c r="G9" s="4">
        <v>2004</v>
      </c>
      <c r="H9" s="4">
        <v>2529</v>
      </c>
      <c r="I9" s="5">
        <f t="shared" si="0"/>
        <v>0.79240806642941874</v>
      </c>
      <c r="J9" s="5">
        <f t="shared" si="1"/>
        <v>4.5069778082818576E-2</v>
      </c>
      <c r="K9" s="5">
        <f t="shared" si="2"/>
        <v>0.16087138667783829</v>
      </c>
    </row>
    <row r="10" spans="1:11" x14ac:dyDescent="0.3">
      <c r="A10" s="3" t="s">
        <v>37</v>
      </c>
      <c r="B10" s="4">
        <v>10092</v>
      </c>
      <c r="C10" s="4">
        <v>238</v>
      </c>
      <c r="D10" s="4">
        <v>395</v>
      </c>
      <c r="E10" s="4">
        <v>2229</v>
      </c>
      <c r="F10" s="4">
        <v>5255</v>
      </c>
      <c r="G10" s="4">
        <v>2265</v>
      </c>
      <c r="H10" s="4">
        <v>2989</v>
      </c>
      <c r="I10" s="5">
        <f t="shared" si="0"/>
        <v>0.75777852124456335</v>
      </c>
      <c r="J10" s="5">
        <f t="shared" si="1"/>
        <v>2.3583036068172809E-2</v>
      </c>
      <c r="K10" s="5">
        <f t="shared" si="2"/>
        <v>0.14316781442551649</v>
      </c>
    </row>
    <row r="11" spans="1:11" x14ac:dyDescent="0.3">
      <c r="A11" s="3" t="s">
        <v>38</v>
      </c>
      <c r="B11" s="4">
        <v>11086</v>
      </c>
      <c r="C11" s="4">
        <v>107</v>
      </c>
      <c r="D11" s="4">
        <v>229</v>
      </c>
      <c r="E11" s="4">
        <v>1293</v>
      </c>
      <c r="F11" s="4">
        <v>5388</v>
      </c>
      <c r="G11" s="4">
        <v>2298</v>
      </c>
      <c r="H11" s="4">
        <v>3090</v>
      </c>
      <c r="I11" s="5">
        <f t="shared" si="0"/>
        <v>0.74368932038834956</v>
      </c>
      <c r="J11" s="5">
        <f t="shared" si="1"/>
        <v>9.6518130976005773E-3</v>
      </c>
      <c r="K11" s="5">
        <f t="shared" si="2"/>
        <v>7.5341339036025662E-2</v>
      </c>
    </row>
    <row r="12" spans="1:11" x14ac:dyDescent="0.3">
      <c r="A12" s="3" t="s">
        <v>39</v>
      </c>
      <c r="B12" s="4">
        <v>9324</v>
      </c>
      <c r="C12" s="4">
        <v>182</v>
      </c>
      <c r="D12" s="4">
        <v>279</v>
      </c>
      <c r="E12" s="4">
        <v>1585</v>
      </c>
      <c r="F12" s="4">
        <v>5356</v>
      </c>
      <c r="G12" s="4">
        <v>2120</v>
      </c>
      <c r="H12" s="4">
        <v>3236</v>
      </c>
      <c r="I12" s="5">
        <f t="shared" si="0"/>
        <v>0.6551297898640297</v>
      </c>
      <c r="J12" s="5">
        <f t="shared" si="1"/>
        <v>1.951951951951952E-2</v>
      </c>
      <c r="K12" s="5">
        <f t="shared" si="2"/>
        <v>8.8207398039835599E-2</v>
      </c>
    </row>
    <row r="13" spans="1:11" x14ac:dyDescent="0.3">
      <c r="A13" s="3" t="s">
        <v>40</v>
      </c>
      <c r="B13" s="4">
        <v>10570</v>
      </c>
      <c r="C13" s="4">
        <v>443</v>
      </c>
      <c r="D13" s="4">
        <v>636</v>
      </c>
      <c r="E13" s="4">
        <v>3661</v>
      </c>
      <c r="F13" s="4">
        <v>5741</v>
      </c>
      <c r="G13" s="4">
        <v>2018</v>
      </c>
      <c r="H13" s="4">
        <v>3722</v>
      </c>
      <c r="I13" s="5">
        <f t="shared" si="0"/>
        <v>0.54218162278344972</v>
      </c>
      <c r="J13" s="5">
        <f t="shared" si="1"/>
        <v>4.1911069063386944E-2</v>
      </c>
      <c r="K13" s="5">
        <f t="shared" si="2"/>
        <v>0.18281115263006611</v>
      </c>
    </row>
    <row r="16" spans="1:11" ht="20.25" x14ac:dyDescent="0.35">
      <c r="A16" s="82" t="s">
        <v>41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</row>
    <row r="17" spans="1:4" x14ac:dyDescent="0.3">
      <c r="A17" s="2" t="s">
        <v>20</v>
      </c>
      <c r="B17" s="2" t="s">
        <v>42</v>
      </c>
      <c r="C17" s="2" t="s">
        <v>43</v>
      </c>
      <c r="D17" s="2" t="s">
        <v>44</v>
      </c>
    </row>
    <row r="18" spans="1:4" x14ac:dyDescent="0.3">
      <c r="A18" s="3" t="s">
        <v>32</v>
      </c>
      <c r="B18" s="7">
        <f t="shared" ref="B18:D26" si="3">IF(B4=0,"-",(B5-B4)/B4)</f>
        <v>-0.17979315831344472</v>
      </c>
      <c r="C18" s="7">
        <f t="shared" si="3"/>
        <v>-1.9122137404580153</v>
      </c>
      <c r="D18" s="7">
        <f t="shared" si="3"/>
        <v>-2.5341614906832297</v>
      </c>
    </row>
    <row r="19" spans="1:4" x14ac:dyDescent="0.3">
      <c r="A19" s="3" t="s">
        <v>33</v>
      </c>
      <c r="B19" s="7">
        <f t="shared" si="3"/>
        <v>0.62075654704170713</v>
      </c>
      <c r="C19" s="7">
        <f t="shared" si="3"/>
        <v>-1.8200836820083681</v>
      </c>
      <c r="D19" s="7">
        <f t="shared" si="3"/>
        <v>-0.96356275303643724</v>
      </c>
    </row>
    <row r="20" spans="1:4" x14ac:dyDescent="0.3">
      <c r="A20" s="3" t="s">
        <v>34</v>
      </c>
      <c r="B20" s="7">
        <f t="shared" si="3"/>
        <v>4.2639138240574505E-2</v>
      </c>
      <c r="C20" s="7">
        <f t="shared" si="3"/>
        <v>1.096938775510204</v>
      </c>
      <c r="D20" s="7">
        <f t="shared" si="3"/>
        <v>-34.111111111111114</v>
      </c>
    </row>
    <row r="21" spans="1:4" x14ac:dyDescent="0.3">
      <c r="A21" s="3" t="s">
        <v>35</v>
      </c>
      <c r="B21" s="7">
        <f t="shared" si="3"/>
        <v>0.81905581862534083</v>
      </c>
      <c r="C21" s="7">
        <f t="shared" si="3"/>
        <v>1.7493917274939172</v>
      </c>
      <c r="D21" s="7">
        <f t="shared" si="3"/>
        <v>1.8355704697986577</v>
      </c>
    </row>
    <row r="22" spans="1:4" x14ac:dyDescent="0.3">
      <c r="A22" s="3" t="s">
        <v>36</v>
      </c>
      <c r="B22" s="7">
        <f t="shared" si="3"/>
        <v>3.4392995188135995E-2</v>
      </c>
      <c r="C22" s="7">
        <f t="shared" si="3"/>
        <v>-0.47699115044247786</v>
      </c>
      <c r="D22" s="7">
        <f t="shared" si="3"/>
        <v>-0.54556213017751476</v>
      </c>
    </row>
    <row r="23" spans="1:4" x14ac:dyDescent="0.3">
      <c r="A23" s="3" t="s">
        <v>37</v>
      </c>
      <c r="B23" s="7">
        <f t="shared" si="3"/>
        <v>-0.23038206360100663</v>
      </c>
      <c r="C23" s="7">
        <f t="shared" si="3"/>
        <v>-0.59729272419627755</v>
      </c>
      <c r="D23" s="7">
        <f t="shared" si="3"/>
        <v>2.8645833333333332E-2</v>
      </c>
    </row>
    <row r="24" spans="1:4" x14ac:dyDescent="0.3">
      <c r="A24" s="3" t="s">
        <v>38</v>
      </c>
      <c r="B24" s="7">
        <f t="shared" si="3"/>
        <v>9.8493856520015854E-2</v>
      </c>
      <c r="C24" s="7">
        <f t="shared" si="3"/>
        <v>-0.55042016806722693</v>
      </c>
      <c r="D24" s="7">
        <f t="shared" si="3"/>
        <v>-0.42025316455696204</v>
      </c>
    </row>
    <row r="25" spans="1:4" x14ac:dyDescent="0.3">
      <c r="A25" s="3" t="s">
        <v>39</v>
      </c>
      <c r="B25" s="7">
        <f t="shared" si="3"/>
        <v>-0.1589392025978712</v>
      </c>
      <c r="C25" s="7">
        <f t="shared" si="3"/>
        <v>0.7009345794392523</v>
      </c>
      <c r="D25" s="7">
        <f t="shared" si="3"/>
        <v>0.2183406113537118</v>
      </c>
    </row>
    <row r="26" spans="1:4" x14ac:dyDescent="0.3">
      <c r="A26" s="3" t="s">
        <v>40</v>
      </c>
      <c r="B26" s="7">
        <f t="shared" si="3"/>
        <v>0.13363363363363365</v>
      </c>
      <c r="C26" s="7">
        <f t="shared" si="3"/>
        <v>1.4340659340659341</v>
      </c>
      <c r="D26" s="7">
        <f t="shared" si="3"/>
        <v>1.2795698924731183</v>
      </c>
    </row>
  </sheetData>
  <mergeCells count="2">
    <mergeCell ref="A16:K16"/>
    <mergeCell ref="A1:K1"/>
  </mergeCells>
  <phoneticPr fontId="32" type="noConversion"/>
  <printOptions horizontalCentered="1"/>
  <pageMargins left="0.25" right="0.25" top="0.75" bottom="0.75" header="0.3" footer="0.3"/>
  <pageSetup scale="8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  <pageSetUpPr fitToPage="1"/>
  </sheetPr>
  <dimension ref="A1:G18"/>
  <sheetViews>
    <sheetView workbookViewId="0">
      <selection sqref="A1:G1"/>
    </sheetView>
  </sheetViews>
  <sheetFormatPr defaultRowHeight="16.5" x14ac:dyDescent="0.3"/>
  <cols>
    <col min="1" max="5" width="14" customWidth="1"/>
    <col min="6" max="7" width="16" customWidth="1"/>
  </cols>
  <sheetData>
    <row r="1" spans="1:7" ht="20.25" x14ac:dyDescent="0.35">
      <c r="A1" s="82" t="s">
        <v>45</v>
      </c>
      <c r="B1" s="83"/>
      <c r="C1" s="83"/>
      <c r="D1" s="83"/>
      <c r="E1" s="83"/>
      <c r="F1" s="83"/>
      <c r="G1" s="83"/>
    </row>
    <row r="3" spans="1:7" x14ac:dyDescent="0.3">
      <c r="A3" s="2" t="s">
        <v>46</v>
      </c>
      <c r="B3" s="2" t="s">
        <v>21</v>
      </c>
      <c r="C3" s="2" t="s">
        <v>22</v>
      </c>
      <c r="D3" s="2" t="s">
        <v>23</v>
      </c>
      <c r="E3" s="2" t="s">
        <v>29</v>
      </c>
      <c r="F3" s="2" t="s">
        <v>42</v>
      </c>
      <c r="G3" s="2" t="s">
        <v>43</v>
      </c>
    </row>
    <row r="4" spans="1:7" x14ac:dyDescent="0.3">
      <c r="A4" s="8" t="s">
        <v>47</v>
      </c>
      <c r="B4" s="4">
        <v>287835</v>
      </c>
      <c r="C4" s="4">
        <v>15205</v>
      </c>
      <c r="D4" s="4">
        <v>15930</v>
      </c>
      <c r="E4" s="5">
        <f t="shared" ref="E4:E12" si="0">C4/B4</f>
        <v>5.2825403442944743E-2</v>
      </c>
      <c r="F4" s="5"/>
      <c r="G4" s="5"/>
    </row>
    <row r="5" spans="1:7" x14ac:dyDescent="0.3">
      <c r="A5" s="8" t="s">
        <v>48</v>
      </c>
      <c r="B5" s="4">
        <v>225759</v>
      </c>
      <c r="C5" s="4">
        <v>7650</v>
      </c>
      <c r="D5" s="4">
        <v>18423</v>
      </c>
      <c r="E5" s="5">
        <f t="shared" si="0"/>
        <v>3.3885692264760209E-2</v>
      </c>
      <c r="F5" s="5"/>
      <c r="G5" s="5"/>
    </row>
    <row r="6" spans="1:7" x14ac:dyDescent="0.3">
      <c r="A6" s="8" t="s">
        <v>49</v>
      </c>
      <c r="B6" s="4">
        <v>245071</v>
      </c>
      <c r="C6" s="4">
        <v>3077</v>
      </c>
      <c r="D6" s="4">
        <v>2505</v>
      </c>
      <c r="E6" s="5">
        <f t="shared" si="0"/>
        <v>1.2555545127738493E-2</v>
      </c>
      <c r="F6" s="5"/>
      <c r="G6" s="5"/>
    </row>
    <row r="7" spans="1:7" x14ac:dyDescent="0.3">
      <c r="A7" s="8" t="s">
        <v>50</v>
      </c>
      <c r="B7" s="4">
        <v>298393</v>
      </c>
      <c r="C7" s="4">
        <v>18451</v>
      </c>
      <c r="D7" s="4">
        <v>26747</v>
      </c>
      <c r="E7" s="5">
        <f t="shared" si="0"/>
        <v>6.1834560462209233E-2</v>
      </c>
      <c r="F7" s="5"/>
      <c r="G7" s="5"/>
    </row>
    <row r="8" spans="1:7" x14ac:dyDescent="0.3">
      <c r="A8" s="9" t="s">
        <v>51</v>
      </c>
      <c r="B8" s="10">
        <v>1057058</v>
      </c>
      <c r="C8" s="10">
        <v>44385</v>
      </c>
      <c r="D8" s="10">
        <v>63605</v>
      </c>
      <c r="E8" s="11">
        <f t="shared" si="0"/>
        <v>4.1989181293741684E-2</v>
      </c>
      <c r="F8" s="11"/>
      <c r="G8" s="11"/>
    </row>
    <row r="9" spans="1:7" x14ac:dyDescent="0.3">
      <c r="A9" s="12" t="s">
        <v>52</v>
      </c>
      <c r="B9" s="13">
        <v>347917</v>
      </c>
      <c r="C9" s="13">
        <v>20918</v>
      </c>
      <c r="D9" s="13">
        <v>20068</v>
      </c>
      <c r="E9" s="14">
        <f t="shared" si="0"/>
        <v>6.0123535210984229E-2</v>
      </c>
      <c r="F9" s="14">
        <f t="shared" ref="F9:G11" si="1">(B9-B4)/B4</f>
        <v>0.20873764483124013</v>
      </c>
      <c r="G9" s="14">
        <f t="shared" si="1"/>
        <v>0.375731667214732</v>
      </c>
    </row>
    <row r="10" spans="1:7" x14ac:dyDescent="0.3">
      <c r="A10" s="12" t="s">
        <v>53</v>
      </c>
      <c r="B10" s="13">
        <v>326424</v>
      </c>
      <c r="C10" s="13">
        <v>16171</v>
      </c>
      <c r="D10" s="13">
        <v>13050</v>
      </c>
      <c r="E10" s="14">
        <f t="shared" si="0"/>
        <v>4.953986226502953E-2</v>
      </c>
      <c r="F10" s="14">
        <f t="shared" si="1"/>
        <v>0.44589584468393284</v>
      </c>
      <c r="G10" s="14">
        <f t="shared" si="1"/>
        <v>1.1138562091503268</v>
      </c>
    </row>
    <row r="11" spans="1:7" x14ac:dyDescent="0.3">
      <c r="A11" s="12" t="s">
        <v>54</v>
      </c>
      <c r="B11" s="13">
        <v>303537</v>
      </c>
      <c r="C11" s="13">
        <v>6708</v>
      </c>
      <c r="D11" s="13">
        <v>9537</v>
      </c>
      <c r="E11" s="14">
        <f t="shared" si="0"/>
        <v>2.2099447513812154E-2</v>
      </c>
      <c r="F11" s="14">
        <f t="shared" si="1"/>
        <v>0.23856759877749714</v>
      </c>
      <c r="G11" s="14">
        <f t="shared" si="1"/>
        <v>1.1800454988625284</v>
      </c>
    </row>
    <row r="12" spans="1:7" x14ac:dyDescent="0.3">
      <c r="A12" s="9" t="s">
        <v>55</v>
      </c>
      <c r="B12" s="10">
        <v>977877</v>
      </c>
      <c r="C12" s="10">
        <v>43797</v>
      </c>
      <c r="D12" s="10">
        <v>42656</v>
      </c>
      <c r="E12" s="11">
        <f t="shared" si="0"/>
        <v>4.4787841415638165E-2</v>
      </c>
      <c r="F12" s="11"/>
      <c r="G12" s="11"/>
    </row>
    <row r="15" spans="1:7" ht="20.25" x14ac:dyDescent="0.35">
      <c r="A15" s="82" t="s">
        <v>56</v>
      </c>
      <c r="B15" s="83"/>
      <c r="C15" s="83"/>
      <c r="D15" s="83"/>
      <c r="E15" s="83"/>
      <c r="F15" s="83"/>
      <c r="G15" s="83"/>
    </row>
    <row r="16" spans="1:7" x14ac:dyDescent="0.3">
      <c r="A16" s="84" t="s">
        <v>57</v>
      </c>
      <c r="B16" s="75"/>
      <c r="C16" s="75"/>
      <c r="D16" s="75"/>
      <c r="E16" s="75"/>
      <c r="F16" s="75"/>
      <c r="G16" s="75"/>
    </row>
    <row r="17" spans="1:7" x14ac:dyDescent="0.3">
      <c r="A17" s="84" t="s">
        <v>58</v>
      </c>
      <c r="B17" s="75"/>
      <c r="C17" s="75"/>
      <c r="D17" s="75"/>
      <c r="E17" s="75"/>
      <c r="F17" s="75"/>
      <c r="G17" s="75"/>
    </row>
    <row r="18" spans="1:7" x14ac:dyDescent="0.3">
      <c r="A18" s="84" t="s">
        <v>59</v>
      </c>
      <c r="B18" s="75"/>
      <c r="C18" s="75"/>
      <c r="D18" s="75"/>
      <c r="E18" s="75"/>
      <c r="F18" s="75"/>
      <c r="G18" s="75"/>
    </row>
  </sheetData>
  <mergeCells count="5">
    <mergeCell ref="A1:G1"/>
    <mergeCell ref="A17:G17"/>
    <mergeCell ref="A18:G18"/>
    <mergeCell ref="A16:G16"/>
    <mergeCell ref="A15:G15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A843"/>
    <pageSetUpPr fitToPage="1"/>
  </sheetPr>
  <dimension ref="A1:H14"/>
  <sheetViews>
    <sheetView workbookViewId="0">
      <selection sqref="A1:H1"/>
    </sheetView>
  </sheetViews>
  <sheetFormatPr defaultRowHeight="16.5" x14ac:dyDescent="0.3"/>
  <cols>
    <col min="1" max="1" width="18" customWidth="1"/>
    <col min="2" max="8" width="14" customWidth="1"/>
  </cols>
  <sheetData>
    <row r="1" spans="1:8" ht="20.25" x14ac:dyDescent="0.35">
      <c r="A1" s="82" t="s">
        <v>60</v>
      </c>
      <c r="B1" s="83"/>
      <c r="C1" s="83"/>
      <c r="D1" s="83"/>
      <c r="E1" s="83"/>
      <c r="F1" s="83"/>
      <c r="G1" s="83"/>
      <c r="H1" s="83"/>
    </row>
    <row r="3" spans="1:8" x14ac:dyDescent="0.3">
      <c r="A3" s="2" t="s">
        <v>61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62</v>
      </c>
      <c r="G3" s="2" t="s">
        <v>63</v>
      </c>
    </row>
    <row r="4" spans="1:8" x14ac:dyDescent="0.3">
      <c r="A4" s="15" t="s">
        <v>64</v>
      </c>
      <c r="B4" s="4">
        <v>11460</v>
      </c>
      <c r="C4" s="4">
        <v>8373</v>
      </c>
      <c r="D4" s="4">
        <v>9246</v>
      </c>
      <c r="E4" s="4">
        <v>6583</v>
      </c>
      <c r="F4" s="5">
        <f>E4/E7</f>
        <v>0.70595174262734584</v>
      </c>
      <c r="G4" s="16" t="s">
        <v>65</v>
      </c>
    </row>
    <row r="5" spans="1:8" x14ac:dyDescent="0.3">
      <c r="A5" s="15" t="s">
        <v>66</v>
      </c>
      <c r="B5" s="4">
        <v>1534</v>
      </c>
      <c r="C5" s="4">
        <v>1602</v>
      </c>
      <c r="D5" s="4">
        <v>1701</v>
      </c>
      <c r="E5" s="4">
        <v>2527</v>
      </c>
      <c r="F5" s="5">
        <f>E5/E7</f>
        <v>0.27099195710455765</v>
      </c>
      <c r="G5" s="17" t="s">
        <v>67</v>
      </c>
    </row>
    <row r="6" spans="1:8" x14ac:dyDescent="0.3">
      <c r="A6" s="15" t="s">
        <v>68</v>
      </c>
      <c r="B6" s="4">
        <v>119</v>
      </c>
      <c r="C6" s="4">
        <v>118</v>
      </c>
      <c r="D6" s="4">
        <v>127</v>
      </c>
      <c r="E6" s="4">
        <v>215</v>
      </c>
      <c r="F6" s="5">
        <f>E6/E7</f>
        <v>2.3056300268096516E-2</v>
      </c>
      <c r="G6" s="17" t="s">
        <v>67</v>
      </c>
    </row>
    <row r="7" spans="1:8" x14ac:dyDescent="0.3">
      <c r="A7" s="18" t="s">
        <v>69</v>
      </c>
      <c r="B7" s="10">
        <v>13113</v>
      </c>
      <c r="C7" s="10">
        <v>10093</v>
      </c>
      <c r="D7" s="10">
        <v>11086</v>
      </c>
      <c r="E7" s="10">
        <v>9325</v>
      </c>
      <c r="F7" s="11"/>
      <c r="G7" s="19"/>
    </row>
    <row r="10" spans="1:8" ht="20.25" x14ac:dyDescent="0.35">
      <c r="A10" s="82" t="s">
        <v>70</v>
      </c>
      <c r="B10" s="83"/>
      <c r="C10" s="83"/>
      <c r="D10" s="83"/>
      <c r="E10" s="83"/>
      <c r="F10" s="83"/>
      <c r="G10" s="83"/>
      <c r="H10" s="83"/>
    </row>
    <row r="11" spans="1:8" x14ac:dyDescent="0.3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</row>
    <row r="12" spans="1:8" x14ac:dyDescent="0.3">
      <c r="A12" s="20" t="s">
        <v>77</v>
      </c>
      <c r="B12" s="8" t="s">
        <v>78</v>
      </c>
      <c r="C12" s="15" t="s">
        <v>79</v>
      </c>
      <c r="D12" s="21">
        <v>1216</v>
      </c>
      <c r="E12" s="22">
        <v>309</v>
      </c>
      <c r="F12" s="21">
        <v>3355</v>
      </c>
    </row>
    <row r="13" spans="1:8" x14ac:dyDescent="0.3">
      <c r="A13" s="20" t="s">
        <v>80</v>
      </c>
      <c r="B13" s="8" t="s">
        <v>78</v>
      </c>
      <c r="C13" s="15" t="s">
        <v>81</v>
      </c>
      <c r="D13" s="21">
        <v>1</v>
      </c>
      <c r="E13" s="23">
        <v>-1</v>
      </c>
      <c r="F13" s="21">
        <v>14</v>
      </c>
    </row>
    <row r="14" spans="1:8" x14ac:dyDescent="0.3">
      <c r="A14" s="20" t="s">
        <v>82</v>
      </c>
      <c r="B14" s="8" t="s">
        <v>78</v>
      </c>
      <c r="C14" s="15" t="s">
        <v>83</v>
      </c>
      <c r="D14" s="21">
        <v>10</v>
      </c>
      <c r="E14" s="23">
        <v>-0.4</v>
      </c>
      <c r="F14" s="21">
        <v>10</v>
      </c>
    </row>
  </sheetData>
  <mergeCells count="2">
    <mergeCell ref="A10:H10"/>
    <mergeCell ref="A1:H1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  <pageSetUpPr fitToPage="1"/>
  </sheetPr>
  <dimension ref="A1:F34"/>
  <sheetViews>
    <sheetView topLeftCell="A15" workbookViewId="0">
      <selection sqref="A1:F1"/>
    </sheetView>
  </sheetViews>
  <sheetFormatPr defaultRowHeight="16.5" x14ac:dyDescent="0.3"/>
  <cols>
    <col min="1" max="1" width="12" customWidth="1"/>
    <col min="2" max="2" width="14" customWidth="1"/>
    <col min="3" max="3" width="12" customWidth="1"/>
    <col min="4" max="6" width="14" customWidth="1"/>
  </cols>
  <sheetData>
    <row r="1" spans="1:6" ht="20.25" x14ac:dyDescent="0.35">
      <c r="A1" s="82" t="s">
        <v>84</v>
      </c>
      <c r="B1" s="83"/>
      <c r="C1" s="83"/>
      <c r="D1" s="83"/>
      <c r="E1" s="83"/>
      <c r="F1" s="83"/>
    </row>
    <row r="3" spans="1:6" x14ac:dyDescent="0.3">
      <c r="A3" s="2" t="s">
        <v>20</v>
      </c>
      <c r="B3" s="2" t="s">
        <v>85</v>
      </c>
      <c r="C3" s="2" t="s">
        <v>24</v>
      </c>
      <c r="D3" s="2" t="s">
        <v>86</v>
      </c>
      <c r="E3" s="2" t="s">
        <v>87</v>
      </c>
      <c r="F3" s="2" t="s">
        <v>88</v>
      </c>
    </row>
    <row r="4" spans="1:6" x14ac:dyDescent="0.3">
      <c r="A4" s="24" t="s">
        <v>31</v>
      </c>
      <c r="B4" s="22">
        <v>330</v>
      </c>
      <c r="C4" s="21">
        <v>1833</v>
      </c>
      <c r="D4" s="8" t="s">
        <v>89</v>
      </c>
      <c r="E4" s="8" t="s">
        <v>90</v>
      </c>
      <c r="F4" s="25"/>
    </row>
    <row r="5" spans="1:6" x14ac:dyDescent="0.3">
      <c r="A5" s="24" t="s">
        <v>32</v>
      </c>
      <c r="B5" s="23" t="s">
        <v>91</v>
      </c>
      <c r="C5" s="21">
        <v>-2824</v>
      </c>
      <c r="D5" s="8" t="s">
        <v>91</v>
      </c>
      <c r="E5" s="8" t="s">
        <v>91</v>
      </c>
      <c r="F5" s="25" t="s">
        <v>92</v>
      </c>
    </row>
    <row r="6" spans="1:6" x14ac:dyDescent="0.3">
      <c r="A6" s="24" t="s">
        <v>33</v>
      </c>
      <c r="B6" s="22">
        <v>260</v>
      </c>
      <c r="C6" s="21">
        <v>-100</v>
      </c>
      <c r="D6" s="8" t="s">
        <v>91</v>
      </c>
      <c r="E6" s="8" t="s">
        <v>93</v>
      </c>
      <c r="F6" s="25"/>
    </row>
    <row r="7" spans="1:6" x14ac:dyDescent="0.3">
      <c r="A7" s="24" t="s">
        <v>34</v>
      </c>
      <c r="B7" s="22">
        <v>300</v>
      </c>
      <c r="C7" s="21">
        <v>2161</v>
      </c>
      <c r="D7" s="8" t="s">
        <v>94</v>
      </c>
      <c r="E7" s="8" t="s">
        <v>95</v>
      </c>
      <c r="F7" s="25"/>
    </row>
    <row r="8" spans="1:6" x14ac:dyDescent="0.3">
      <c r="A8" s="24" t="s">
        <v>35</v>
      </c>
      <c r="B8" s="22">
        <v>500</v>
      </c>
      <c r="C8" s="21">
        <v>5151</v>
      </c>
      <c r="D8" s="8" t="s">
        <v>96</v>
      </c>
      <c r="E8" s="8" t="s">
        <v>97</v>
      </c>
      <c r="F8" s="25" t="s">
        <v>98</v>
      </c>
    </row>
    <row r="9" spans="1:6" x14ac:dyDescent="0.3">
      <c r="A9" s="24" t="s">
        <v>36</v>
      </c>
      <c r="B9" s="22">
        <v>500</v>
      </c>
      <c r="C9" s="21">
        <v>2180</v>
      </c>
      <c r="D9" s="8" t="s">
        <v>99</v>
      </c>
      <c r="E9" s="8" t="s">
        <v>100</v>
      </c>
      <c r="F9" s="25"/>
    </row>
    <row r="10" spans="1:6" x14ac:dyDescent="0.3">
      <c r="A10" s="24" t="s">
        <v>37</v>
      </c>
      <c r="B10" s="22">
        <v>500</v>
      </c>
      <c r="C10" s="21">
        <v>2229</v>
      </c>
      <c r="D10" s="8" t="s">
        <v>101</v>
      </c>
      <c r="E10" s="8" t="s">
        <v>102</v>
      </c>
      <c r="F10" s="25"/>
    </row>
    <row r="11" spans="1:6" x14ac:dyDescent="0.3">
      <c r="A11" s="24" t="s">
        <v>38</v>
      </c>
      <c r="B11" s="22">
        <v>500</v>
      </c>
      <c r="C11" s="21">
        <v>1293</v>
      </c>
      <c r="D11" s="8" t="s">
        <v>103</v>
      </c>
      <c r="E11" s="8" t="s">
        <v>104</v>
      </c>
      <c r="F11" s="25"/>
    </row>
    <row r="12" spans="1:6" x14ac:dyDescent="0.3">
      <c r="A12" s="24" t="s">
        <v>39</v>
      </c>
      <c r="B12" s="22">
        <v>600</v>
      </c>
      <c r="C12" s="21">
        <v>1585</v>
      </c>
      <c r="D12" s="8" t="s">
        <v>105</v>
      </c>
      <c r="E12" s="8" t="s">
        <v>106</v>
      </c>
      <c r="F12" s="25"/>
    </row>
    <row r="13" spans="1:6" x14ac:dyDescent="0.3">
      <c r="A13" s="24" t="s">
        <v>40</v>
      </c>
      <c r="B13" s="22">
        <v>800</v>
      </c>
      <c r="C13" s="21">
        <v>3661</v>
      </c>
      <c r="D13" s="8" t="s">
        <v>107</v>
      </c>
      <c r="E13" s="8" t="s">
        <v>108</v>
      </c>
      <c r="F13" s="25" t="s">
        <v>109</v>
      </c>
    </row>
    <row r="14" spans="1:6" x14ac:dyDescent="0.3">
      <c r="A14" s="24" t="s">
        <v>110</v>
      </c>
      <c r="B14" s="22">
        <v>1000</v>
      </c>
      <c r="C14" s="21" t="s">
        <v>91</v>
      </c>
      <c r="D14" s="8" t="s">
        <v>91</v>
      </c>
      <c r="E14" s="8" t="s">
        <v>111</v>
      </c>
      <c r="F14" s="25"/>
    </row>
    <row r="17" spans="1:6" ht="20.25" x14ac:dyDescent="0.35">
      <c r="A17" s="82" t="s">
        <v>112</v>
      </c>
      <c r="B17" s="83"/>
      <c r="C17" s="83"/>
      <c r="D17" s="83"/>
      <c r="E17" s="83"/>
      <c r="F17" s="83"/>
    </row>
    <row r="18" spans="1:6" x14ac:dyDescent="0.3">
      <c r="A18" s="26" t="s">
        <v>113</v>
      </c>
      <c r="B18" s="85" t="s">
        <v>114</v>
      </c>
      <c r="C18" s="86"/>
      <c r="D18" s="86"/>
      <c r="E18" s="86"/>
      <c r="F18" s="87"/>
    </row>
    <row r="19" spans="1:6" x14ac:dyDescent="0.3">
      <c r="A19" s="26" t="s">
        <v>115</v>
      </c>
      <c r="B19" s="85" t="s">
        <v>116</v>
      </c>
      <c r="C19" s="86"/>
      <c r="D19" s="86"/>
      <c r="E19" s="86"/>
      <c r="F19" s="87"/>
    </row>
    <row r="20" spans="1:6" x14ac:dyDescent="0.3">
      <c r="A20" s="26" t="s">
        <v>117</v>
      </c>
      <c r="B20" s="85" t="s">
        <v>118</v>
      </c>
      <c r="C20" s="86"/>
      <c r="D20" s="86"/>
      <c r="E20" s="86"/>
      <c r="F20" s="87"/>
    </row>
    <row r="21" spans="1:6" x14ac:dyDescent="0.3">
      <c r="A21" s="26" t="s">
        <v>119</v>
      </c>
      <c r="B21" s="85" t="s">
        <v>120</v>
      </c>
      <c r="C21" s="86"/>
      <c r="D21" s="86"/>
      <c r="E21" s="86"/>
      <c r="F21" s="87"/>
    </row>
    <row r="22" spans="1:6" x14ac:dyDescent="0.3">
      <c r="A22" s="26" t="s">
        <v>121</v>
      </c>
      <c r="B22" s="85" t="s">
        <v>120</v>
      </c>
      <c r="C22" s="86"/>
      <c r="D22" s="86"/>
      <c r="E22" s="86"/>
      <c r="F22" s="87"/>
    </row>
    <row r="23" spans="1:6" x14ac:dyDescent="0.3">
      <c r="A23" s="26" t="s">
        <v>122</v>
      </c>
      <c r="B23" s="85" t="s">
        <v>123</v>
      </c>
      <c r="C23" s="86"/>
      <c r="D23" s="86"/>
      <c r="E23" s="86"/>
      <c r="F23" s="87"/>
    </row>
    <row r="24" spans="1:6" x14ac:dyDescent="0.3">
      <c r="A24" s="26" t="s">
        <v>124</v>
      </c>
      <c r="B24" s="85" t="s">
        <v>125</v>
      </c>
      <c r="C24" s="86"/>
      <c r="D24" s="86"/>
      <c r="E24" s="86"/>
      <c r="F24" s="87"/>
    </row>
    <row r="27" spans="1:6" ht="20.25" x14ac:dyDescent="0.35">
      <c r="A27" s="82" t="s">
        <v>126</v>
      </c>
      <c r="B27" s="83"/>
      <c r="C27" s="83"/>
      <c r="D27" s="83"/>
      <c r="E27" s="83"/>
      <c r="F27" s="83"/>
    </row>
    <row r="28" spans="1:6" ht="27" x14ac:dyDescent="0.3">
      <c r="A28" s="27" t="s">
        <v>127</v>
      </c>
      <c r="B28" s="88" t="s">
        <v>128</v>
      </c>
      <c r="C28" s="87"/>
    </row>
    <row r="29" spans="1:6" x14ac:dyDescent="0.3">
      <c r="A29" s="27" t="s">
        <v>129</v>
      </c>
      <c r="B29" s="88" t="s">
        <v>130</v>
      </c>
      <c r="C29" s="87"/>
    </row>
    <row r="30" spans="1:6" x14ac:dyDescent="0.3">
      <c r="A30" s="27" t="s">
        <v>131</v>
      </c>
      <c r="B30" s="88" t="s">
        <v>132</v>
      </c>
      <c r="C30" s="87"/>
    </row>
    <row r="31" spans="1:6" x14ac:dyDescent="0.3">
      <c r="A31" s="27" t="s">
        <v>5</v>
      </c>
      <c r="B31" s="88" t="s">
        <v>133</v>
      </c>
      <c r="C31" s="87"/>
    </row>
    <row r="32" spans="1:6" x14ac:dyDescent="0.3">
      <c r="A32" s="27" t="s">
        <v>134</v>
      </c>
      <c r="B32" s="88" t="s">
        <v>135</v>
      </c>
      <c r="C32" s="87"/>
    </row>
    <row r="33" spans="1:3" ht="27" x14ac:dyDescent="0.3">
      <c r="A33" s="27" t="s">
        <v>136</v>
      </c>
      <c r="B33" s="88" t="s">
        <v>137</v>
      </c>
      <c r="C33" s="87"/>
    </row>
    <row r="34" spans="1:3" x14ac:dyDescent="0.3">
      <c r="A34" s="27" t="s">
        <v>138</v>
      </c>
      <c r="B34" s="88" t="s">
        <v>139</v>
      </c>
      <c r="C34" s="87"/>
    </row>
  </sheetData>
  <mergeCells count="17">
    <mergeCell ref="B20:F20"/>
    <mergeCell ref="A1:F1"/>
    <mergeCell ref="B34:C34"/>
    <mergeCell ref="B19:F19"/>
    <mergeCell ref="A27:F27"/>
    <mergeCell ref="B28:C28"/>
    <mergeCell ref="A17:F17"/>
    <mergeCell ref="B23:F23"/>
    <mergeCell ref="B22:F22"/>
    <mergeCell ref="B31:C31"/>
    <mergeCell ref="B32:C32"/>
    <mergeCell ref="B18:F18"/>
    <mergeCell ref="B21:F21"/>
    <mergeCell ref="B30:C30"/>
    <mergeCell ref="B29:C29"/>
    <mergeCell ref="B24:F24"/>
    <mergeCell ref="B33:C33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  <pageSetUpPr fitToPage="1"/>
  </sheetPr>
  <dimension ref="A1:D36"/>
  <sheetViews>
    <sheetView workbookViewId="0">
      <selection sqref="A1:D1"/>
    </sheetView>
  </sheetViews>
  <sheetFormatPr defaultRowHeight="16.5" x14ac:dyDescent="0.3"/>
  <cols>
    <col min="1" max="1" width="14" customWidth="1"/>
    <col min="2" max="2" width="58.375" customWidth="1"/>
    <col min="3" max="3" width="14" customWidth="1"/>
    <col min="4" max="4" width="15.75" customWidth="1"/>
  </cols>
  <sheetData>
    <row r="1" spans="1:4" ht="20.25" x14ac:dyDescent="0.35">
      <c r="A1" s="82" t="s">
        <v>140</v>
      </c>
      <c r="B1" s="83"/>
      <c r="C1" s="83"/>
      <c r="D1" s="83"/>
    </row>
    <row r="3" spans="1:4" ht="20.25" x14ac:dyDescent="0.35">
      <c r="A3" s="82" t="s">
        <v>141</v>
      </c>
      <c r="B3" s="83"/>
      <c r="C3" s="83"/>
      <c r="D3" s="83"/>
    </row>
    <row r="4" spans="1:4" x14ac:dyDescent="0.3">
      <c r="A4" s="2" t="s">
        <v>20</v>
      </c>
      <c r="B4" s="2" t="s">
        <v>142</v>
      </c>
      <c r="C4" s="2" t="s">
        <v>143</v>
      </c>
      <c r="D4" s="2" t="s">
        <v>88</v>
      </c>
    </row>
    <row r="5" spans="1:4" x14ac:dyDescent="0.3">
      <c r="A5" s="24" t="s">
        <v>38</v>
      </c>
      <c r="B5" s="21">
        <v>397</v>
      </c>
      <c r="C5" s="8" t="s">
        <v>144</v>
      </c>
      <c r="D5" s="25"/>
    </row>
    <row r="6" spans="1:4" x14ac:dyDescent="0.3">
      <c r="A6" s="24" t="s">
        <v>39</v>
      </c>
      <c r="B6" s="21">
        <v>356</v>
      </c>
      <c r="C6" s="8" t="s">
        <v>145</v>
      </c>
      <c r="D6" s="25"/>
    </row>
    <row r="7" spans="1:4" x14ac:dyDescent="0.3">
      <c r="A7" s="24" t="s">
        <v>40</v>
      </c>
      <c r="B7" s="21">
        <v>327</v>
      </c>
      <c r="C7" s="8" t="s">
        <v>146</v>
      </c>
      <c r="D7" s="25"/>
    </row>
    <row r="9" spans="1:4" x14ac:dyDescent="0.3">
      <c r="A9" s="89" t="s">
        <v>147</v>
      </c>
      <c r="B9" s="75"/>
      <c r="C9" s="75"/>
      <c r="D9" s="75"/>
    </row>
    <row r="11" spans="1:4" ht="20.25" x14ac:dyDescent="0.35">
      <c r="A11" s="82" t="s">
        <v>148</v>
      </c>
      <c r="B11" s="83"/>
      <c r="C11" s="83"/>
      <c r="D11" s="83"/>
    </row>
    <row r="12" spans="1:4" x14ac:dyDescent="0.3">
      <c r="A12" s="2" t="s">
        <v>149</v>
      </c>
      <c r="B12" s="2" t="s">
        <v>150</v>
      </c>
      <c r="C12" s="2" t="s">
        <v>151</v>
      </c>
      <c r="D12" s="2" t="s">
        <v>152</v>
      </c>
    </row>
    <row r="13" spans="1:4" ht="27" x14ac:dyDescent="0.3">
      <c r="A13" s="8" t="s">
        <v>153</v>
      </c>
      <c r="B13" s="15" t="s">
        <v>154</v>
      </c>
      <c r="C13" s="24" t="s">
        <v>155</v>
      </c>
      <c r="D13" s="25"/>
    </row>
    <row r="14" spans="1:4" ht="27" x14ac:dyDescent="0.3">
      <c r="A14" s="8" t="s">
        <v>156</v>
      </c>
      <c r="B14" s="15" t="s">
        <v>157</v>
      </c>
      <c r="C14" s="24" t="s">
        <v>155</v>
      </c>
      <c r="D14" s="25"/>
    </row>
    <row r="15" spans="1:4" ht="27" x14ac:dyDescent="0.3">
      <c r="A15" s="8" t="s">
        <v>158</v>
      </c>
      <c r="B15" s="15" t="s">
        <v>159</v>
      </c>
      <c r="C15" s="24" t="s">
        <v>160</v>
      </c>
      <c r="D15" s="25"/>
    </row>
    <row r="16" spans="1:4" ht="27" x14ac:dyDescent="0.3">
      <c r="A16" s="8" t="s">
        <v>161</v>
      </c>
      <c r="B16" s="15" t="s">
        <v>162</v>
      </c>
      <c r="C16" s="24" t="s">
        <v>155</v>
      </c>
      <c r="D16" s="25"/>
    </row>
    <row r="17" spans="1:4" ht="27" x14ac:dyDescent="0.3">
      <c r="A17" s="8" t="s">
        <v>163</v>
      </c>
      <c r="B17" s="15" t="s">
        <v>164</v>
      </c>
      <c r="C17" s="24" t="s">
        <v>155</v>
      </c>
      <c r="D17" s="25"/>
    </row>
    <row r="18" spans="1:4" ht="27" x14ac:dyDescent="0.3">
      <c r="A18" s="8" t="s">
        <v>165</v>
      </c>
      <c r="B18" s="15" t="s">
        <v>166</v>
      </c>
      <c r="C18" s="24" t="s">
        <v>160</v>
      </c>
      <c r="D18" s="25"/>
    </row>
    <row r="19" spans="1:4" ht="27" x14ac:dyDescent="0.3">
      <c r="A19" s="8" t="s">
        <v>167</v>
      </c>
      <c r="B19" s="15" t="s">
        <v>168</v>
      </c>
      <c r="C19" s="24" t="s">
        <v>169</v>
      </c>
      <c r="D19" s="25"/>
    </row>
    <row r="20" spans="1:4" ht="27" x14ac:dyDescent="0.3">
      <c r="A20" s="8" t="s">
        <v>170</v>
      </c>
      <c r="B20" s="15" t="s">
        <v>171</v>
      </c>
      <c r="C20" s="24" t="s">
        <v>160</v>
      </c>
      <c r="D20" s="25"/>
    </row>
    <row r="21" spans="1:4" ht="27" x14ac:dyDescent="0.3">
      <c r="A21" s="8" t="s">
        <v>172</v>
      </c>
      <c r="B21" s="15" t="s">
        <v>173</v>
      </c>
      <c r="C21" s="24" t="s">
        <v>68</v>
      </c>
      <c r="D21" s="25"/>
    </row>
    <row r="22" spans="1:4" ht="27" x14ac:dyDescent="0.3">
      <c r="A22" s="8" t="s">
        <v>174</v>
      </c>
      <c r="B22" s="15" t="s">
        <v>175</v>
      </c>
      <c r="C22" s="24" t="s">
        <v>155</v>
      </c>
      <c r="D22" s="25"/>
    </row>
    <row r="23" spans="1:4" ht="27" x14ac:dyDescent="0.3">
      <c r="A23" s="8" t="s">
        <v>176</v>
      </c>
      <c r="B23" s="15" t="s">
        <v>177</v>
      </c>
      <c r="C23" s="24" t="s">
        <v>160</v>
      </c>
      <c r="D23" s="25"/>
    </row>
    <row r="24" spans="1:4" ht="27" x14ac:dyDescent="0.3">
      <c r="A24" s="8" t="s">
        <v>178</v>
      </c>
      <c r="B24" s="15" t="s">
        <v>179</v>
      </c>
      <c r="C24" s="24" t="s">
        <v>68</v>
      </c>
      <c r="D24" s="25"/>
    </row>
    <row r="25" spans="1:4" ht="27" x14ac:dyDescent="0.3">
      <c r="A25" s="8" t="s">
        <v>180</v>
      </c>
      <c r="B25" s="15" t="s">
        <v>181</v>
      </c>
      <c r="C25" s="24" t="s">
        <v>169</v>
      </c>
      <c r="D25" s="25"/>
    </row>
    <row r="26" spans="1:4" ht="27" x14ac:dyDescent="0.3">
      <c r="A26" s="8" t="s">
        <v>182</v>
      </c>
      <c r="B26" s="15" t="s">
        <v>183</v>
      </c>
      <c r="C26" s="24" t="s">
        <v>160</v>
      </c>
      <c r="D26" s="25"/>
    </row>
    <row r="27" spans="1:4" ht="27" x14ac:dyDescent="0.3">
      <c r="A27" s="8" t="s">
        <v>184</v>
      </c>
      <c r="B27" s="15" t="s">
        <v>185</v>
      </c>
      <c r="C27" s="24" t="s">
        <v>68</v>
      </c>
      <c r="D27" s="25"/>
    </row>
    <row r="28" spans="1:4" ht="27" x14ac:dyDescent="0.3">
      <c r="A28" s="8" t="s">
        <v>186</v>
      </c>
      <c r="B28" s="15" t="s">
        <v>187</v>
      </c>
      <c r="C28" s="24" t="s">
        <v>68</v>
      </c>
      <c r="D28" s="25"/>
    </row>
    <row r="29" spans="1:4" ht="27" x14ac:dyDescent="0.3">
      <c r="A29" s="8" t="s">
        <v>188</v>
      </c>
      <c r="B29" s="15" t="s">
        <v>189</v>
      </c>
      <c r="C29" s="24" t="s">
        <v>160</v>
      </c>
      <c r="D29" s="25"/>
    </row>
    <row r="30" spans="1:4" ht="27" x14ac:dyDescent="0.3">
      <c r="A30" s="8" t="s">
        <v>190</v>
      </c>
      <c r="B30" s="15" t="s">
        <v>191</v>
      </c>
      <c r="C30" s="24" t="s">
        <v>192</v>
      </c>
      <c r="D30" s="25"/>
    </row>
    <row r="31" spans="1:4" ht="27" x14ac:dyDescent="0.3">
      <c r="A31" s="8" t="s">
        <v>193</v>
      </c>
      <c r="B31" s="15" t="s">
        <v>194</v>
      </c>
      <c r="C31" s="24" t="s">
        <v>160</v>
      </c>
      <c r="D31" s="25"/>
    </row>
    <row r="32" spans="1:4" ht="27" x14ac:dyDescent="0.3">
      <c r="A32" s="8" t="s">
        <v>195</v>
      </c>
      <c r="B32" s="15" t="s">
        <v>196</v>
      </c>
      <c r="C32" s="24" t="s">
        <v>155</v>
      </c>
      <c r="D32" s="25"/>
    </row>
    <row r="33" spans="1:4" ht="27" x14ac:dyDescent="0.3">
      <c r="A33" s="8" t="s">
        <v>197</v>
      </c>
      <c r="B33" s="15" t="s">
        <v>198</v>
      </c>
      <c r="C33" s="24" t="s">
        <v>68</v>
      </c>
      <c r="D33" s="25"/>
    </row>
    <row r="34" spans="1:4" ht="27" x14ac:dyDescent="0.3">
      <c r="A34" s="8" t="s">
        <v>199</v>
      </c>
      <c r="B34" s="15" t="s">
        <v>200</v>
      </c>
      <c r="C34" s="24" t="s">
        <v>68</v>
      </c>
      <c r="D34" s="25"/>
    </row>
    <row r="35" spans="1:4" ht="27" x14ac:dyDescent="0.3">
      <c r="A35" s="8" t="s">
        <v>199</v>
      </c>
      <c r="B35" s="15" t="s">
        <v>201</v>
      </c>
      <c r="C35" s="24" t="s">
        <v>68</v>
      </c>
      <c r="D35" s="25"/>
    </row>
    <row r="36" spans="1:4" ht="43.5" customHeight="1" x14ac:dyDescent="0.3">
      <c r="A36" s="8" t="s">
        <v>202</v>
      </c>
      <c r="B36" s="15" t="s">
        <v>203</v>
      </c>
      <c r="C36" s="24" t="s">
        <v>169</v>
      </c>
      <c r="D36" s="25" t="s">
        <v>204</v>
      </c>
    </row>
  </sheetData>
  <mergeCells count="4">
    <mergeCell ref="A1:D1"/>
    <mergeCell ref="A9:D9"/>
    <mergeCell ref="A3:D3"/>
    <mergeCell ref="A11:D11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  <pageSetUpPr fitToPage="1"/>
  </sheetPr>
  <dimension ref="A1:F22"/>
  <sheetViews>
    <sheetView workbookViewId="0">
      <selection activeCell="A9" sqref="A9:XFD22"/>
    </sheetView>
  </sheetViews>
  <sheetFormatPr defaultRowHeight="16.5" x14ac:dyDescent="0.3"/>
  <cols>
    <col min="1" max="1" width="17.375" bestFit="1" customWidth="1"/>
    <col min="2" max="2" width="21.625" customWidth="1"/>
    <col min="3" max="5" width="18" customWidth="1"/>
    <col min="6" max="6" width="22" customWidth="1"/>
  </cols>
  <sheetData>
    <row r="1" spans="1:6" x14ac:dyDescent="0.3">
      <c r="A1" s="90" t="s">
        <v>205</v>
      </c>
      <c r="B1" s="75"/>
      <c r="C1" s="75"/>
      <c r="D1" s="75"/>
      <c r="E1" s="75"/>
      <c r="F1" s="75"/>
    </row>
    <row r="2" spans="1:6" x14ac:dyDescent="0.3">
      <c r="A2" s="75"/>
      <c r="B2" s="75"/>
      <c r="C2" s="75"/>
      <c r="D2" s="75"/>
      <c r="E2" s="75"/>
      <c r="F2" s="75"/>
    </row>
    <row r="4" spans="1:6" x14ac:dyDescent="0.3">
      <c r="A4" s="28" t="s">
        <v>206</v>
      </c>
      <c r="B4" s="29" t="s">
        <v>207</v>
      </c>
      <c r="C4" s="28" t="s">
        <v>208</v>
      </c>
      <c r="D4" s="29" t="s">
        <v>128</v>
      </c>
      <c r="E4" s="28" t="s">
        <v>5</v>
      </c>
      <c r="F4" s="29" t="s">
        <v>133</v>
      </c>
    </row>
    <row r="5" spans="1:6" x14ac:dyDescent="0.3">
      <c r="A5" s="28" t="s">
        <v>209</v>
      </c>
      <c r="B5" s="29" t="s">
        <v>210</v>
      </c>
      <c r="C5" s="28" t="s">
        <v>211</v>
      </c>
      <c r="D5" s="29" t="s">
        <v>212</v>
      </c>
      <c r="E5" s="28" t="s">
        <v>213</v>
      </c>
      <c r="F5" s="29" t="s">
        <v>214</v>
      </c>
    </row>
    <row r="6" spans="1:6" x14ac:dyDescent="0.3">
      <c r="A6" s="28" t="s">
        <v>215</v>
      </c>
      <c r="B6" s="29" t="s">
        <v>216</v>
      </c>
      <c r="C6" s="28" t="s">
        <v>217</v>
      </c>
      <c r="D6" s="29" t="s">
        <v>218</v>
      </c>
      <c r="E6" s="28" t="s">
        <v>28</v>
      </c>
      <c r="F6" s="29" t="s">
        <v>219</v>
      </c>
    </row>
    <row r="8" spans="1:6" ht="20.25" x14ac:dyDescent="0.35">
      <c r="A8" s="82" t="s">
        <v>220</v>
      </c>
      <c r="B8" s="83"/>
      <c r="C8" s="83"/>
      <c r="D8" s="83"/>
      <c r="E8" s="83"/>
      <c r="F8" s="83"/>
    </row>
    <row r="9" spans="1:6" ht="17.25" customHeight="1" x14ac:dyDescent="0.3">
      <c r="A9" s="2" t="s">
        <v>221</v>
      </c>
      <c r="B9" s="2" t="s">
        <v>222</v>
      </c>
      <c r="C9" s="2" t="s">
        <v>223</v>
      </c>
      <c r="D9" s="2" t="s">
        <v>224</v>
      </c>
      <c r="E9" s="2" t="s">
        <v>225</v>
      </c>
      <c r="F9" s="2" t="s">
        <v>88</v>
      </c>
    </row>
    <row r="10" spans="1:6" ht="17.25" customHeight="1" x14ac:dyDescent="0.3">
      <c r="A10" s="30" t="s">
        <v>226</v>
      </c>
      <c r="B10" s="15" t="s">
        <v>227</v>
      </c>
      <c r="C10" s="31" t="s">
        <v>228</v>
      </c>
      <c r="D10" s="32" t="s">
        <v>229</v>
      </c>
      <c r="E10" s="33" t="s">
        <v>230</v>
      </c>
      <c r="F10" s="25" t="s">
        <v>231</v>
      </c>
    </row>
    <row r="11" spans="1:6" ht="17.25" customHeight="1" x14ac:dyDescent="0.3">
      <c r="A11" s="30" t="s">
        <v>232</v>
      </c>
      <c r="B11" s="15" t="s">
        <v>233</v>
      </c>
      <c r="C11" s="31" t="s">
        <v>234</v>
      </c>
      <c r="D11" s="32" t="s">
        <v>229</v>
      </c>
      <c r="E11" s="33" t="s">
        <v>230</v>
      </c>
      <c r="F11" s="25" t="s">
        <v>235</v>
      </c>
    </row>
    <row r="12" spans="1:6" ht="17.25" customHeight="1" x14ac:dyDescent="0.3">
      <c r="A12" s="30" t="s">
        <v>236</v>
      </c>
      <c r="B12" s="15" t="s">
        <v>237</v>
      </c>
      <c r="C12" s="31" t="s">
        <v>238</v>
      </c>
      <c r="D12" s="32" t="s">
        <v>239</v>
      </c>
      <c r="E12" s="33" t="s">
        <v>230</v>
      </c>
      <c r="F12" s="25" t="s">
        <v>240</v>
      </c>
    </row>
    <row r="13" spans="1:6" ht="17.25" customHeight="1" x14ac:dyDescent="0.3">
      <c r="A13" s="30" t="s">
        <v>241</v>
      </c>
      <c r="B13" s="15" t="s">
        <v>242</v>
      </c>
      <c r="C13" s="31" t="s">
        <v>243</v>
      </c>
      <c r="D13" s="9" t="s">
        <v>244</v>
      </c>
      <c r="E13" s="33" t="s">
        <v>230</v>
      </c>
      <c r="F13" s="25" t="s">
        <v>245</v>
      </c>
    </row>
    <row r="14" spans="1:6" ht="17.25" customHeight="1" x14ac:dyDescent="0.3">
      <c r="A14" s="30" t="s">
        <v>246</v>
      </c>
      <c r="B14" s="15" t="s">
        <v>247</v>
      </c>
      <c r="C14" s="31" t="s">
        <v>248</v>
      </c>
      <c r="D14" s="9" t="s">
        <v>244</v>
      </c>
      <c r="E14" s="33" t="s">
        <v>249</v>
      </c>
      <c r="F14" s="25"/>
    </row>
    <row r="15" spans="1:6" ht="17.25" customHeight="1" x14ac:dyDescent="0.3">
      <c r="A15" s="30" t="s">
        <v>250</v>
      </c>
      <c r="B15" s="15" t="s">
        <v>251</v>
      </c>
      <c r="C15" s="31" t="s">
        <v>252</v>
      </c>
      <c r="D15" s="32" t="s">
        <v>229</v>
      </c>
      <c r="E15" s="33" t="s">
        <v>253</v>
      </c>
      <c r="F15" s="25"/>
    </row>
    <row r="16" spans="1:6" ht="17.25" customHeight="1" x14ac:dyDescent="0.3">
      <c r="A16" s="30" t="s">
        <v>254</v>
      </c>
      <c r="B16" s="15" t="s">
        <v>255</v>
      </c>
      <c r="C16" s="31" t="s">
        <v>256</v>
      </c>
      <c r="D16" s="34" t="s">
        <v>257</v>
      </c>
      <c r="E16" s="33" t="s">
        <v>258</v>
      </c>
      <c r="F16" s="25"/>
    </row>
    <row r="17" spans="1:6" ht="17.25" customHeight="1" x14ac:dyDescent="0.3">
      <c r="A17" s="30" t="s">
        <v>259</v>
      </c>
      <c r="B17" s="15" t="s">
        <v>260</v>
      </c>
      <c r="C17" s="31" t="s">
        <v>261</v>
      </c>
      <c r="D17" s="34" t="s">
        <v>257</v>
      </c>
      <c r="E17" s="33"/>
      <c r="F17" s="25"/>
    </row>
    <row r="18" spans="1:6" ht="17.25" customHeight="1" x14ac:dyDescent="0.3">
      <c r="A18" s="30" t="s">
        <v>262</v>
      </c>
      <c r="B18" s="15" t="s">
        <v>263</v>
      </c>
      <c r="C18" s="31" t="s">
        <v>264</v>
      </c>
      <c r="D18" s="32" t="s">
        <v>229</v>
      </c>
      <c r="E18" s="33" t="s">
        <v>265</v>
      </c>
      <c r="F18" s="25"/>
    </row>
    <row r="19" spans="1:6" ht="17.25" customHeight="1" x14ac:dyDescent="0.3">
      <c r="A19" s="30" t="s">
        <v>87</v>
      </c>
      <c r="B19" s="15" t="s">
        <v>266</v>
      </c>
      <c r="C19" s="31" t="s">
        <v>267</v>
      </c>
      <c r="D19" s="32" t="s">
        <v>268</v>
      </c>
      <c r="E19" s="33" t="s">
        <v>269</v>
      </c>
      <c r="F19" s="25"/>
    </row>
    <row r="20" spans="1:6" ht="17.25" customHeight="1" x14ac:dyDescent="0.3">
      <c r="A20" s="30" t="s">
        <v>270</v>
      </c>
      <c r="B20" s="15" t="s">
        <v>271</v>
      </c>
      <c r="C20" s="31" t="s">
        <v>272</v>
      </c>
      <c r="D20" s="34" t="s">
        <v>273</v>
      </c>
      <c r="E20" s="33" t="s">
        <v>274</v>
      </c>
      <c r="F20" s="25"/>
    </row>
    <row r="21" spans="1:6" ht="17.25" customHeight="1" x14ac:dyDescent="0.3">
      <c r="A21" s="30" t="s">
        <v>275</v>
      </c>
      <c r="B21" s="15" t="s">
        <v>276</v>
      </c>
      <c r="C21" s="31" t="s">
        <v>277</v>
      </c>
      <c r="D21" s="32" t="s">
        <v>268</v>
      </c>
      <c r="E21" s="33" t="s">
        <v>278</v>
      </c>
      <c r="F21" s="25"/>
    </row>
    <row r="22" spans="1:6" ht="17.25" customHeight="1" x14ac:dyDescent="0.3">
      <c r="A22" s="30" t="s">
        <v>30</v>
      </c>
      <c r="B22" s="15" t="s">
        <v>279</v>
      </c>
      <c r="C22" s="31" t="s">
        <v>218</v>
      </c>
      <c r="D22" s="32" t="s">
        <v>268</v>
      </c>
      <c r="E22" s="33" t="s">
        <v>280</v>
      </c>
      <c r="F22" s="25"/>
    </row>
  </sheetData>
  <mergeCells count="2">
    <mergeCell ref="A8:F8"/>
    <mergeCell ref="A1:F2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980B9"/>
    <pageSetUpPr fitToPage="1"/>
  </sheetPr>
  <dimension ref="A1:F28"/>
  <sheetViews>
    <sheetView workbookViewId="0">
      <selection sqref="A1:F1"/>
    </sheetView>
  </sheetViews>
  <sheetFormatPr defaultRowHeight="16.5" x14ac:dyDescent="0.3"/>
  <cols>
    <col min="1" max="1" width="24" customWidth="1"/>
    <col min="2" max="5" width="16" customWidth="1"/>
    <col min="6" max="6" width="20" customWidth="1"/>
  </cols>
  <sheetData>
    <row r="1" spans="1:6" ht="20.25" x14ac:dyDescent="0.35">
      <c r="A1" s="82" t="s">
        <v>281</v>
      </c>
      <c r="B1" s="83"/>
      <c r="C1" s="83"/>
      <c r="D1" s="83"/>
      <c r="E1" s="83"/>
      <c r="F1" s="83"/>
    </row>
    <row r="2" spans="1:6" ht="20.25" x14ac:dyDescent="0.35">
      <c r="A2" s="82" t="s">
        <v>282</v>
      </c>
      <c r="B2" s="83"/>
      <c r="C2" s="83"/>
      <c r="D2" s="83"/>
      <c r="E2" s="83"/>
      <c r="F2" s="83"/>
    </row>
    <row r="3" spans="1:6" x14ac:dyDescent="0.3">
      <c r="A3" s="2" t="s">
        <v>222</v>
      </c>
      <c r="B3" s="2" t="s">
        <v>75</v>
      </c>
      <c r="C3" s="2" t="s">
        <v>24</v>
      </c>
      <c r="D3" s="2" t="s">
        <v>283</v>
      </c>
      <c r="E3" s="2" t="s">
        <v>284</v>
      </c>
      <c r="F3" s="2" t="s">
        <v>88</v>
      </c>
    </row>
    <row r="4" spans="1:6" x14ac:dyDescent="0.3">
      <c r="A4" s="30" t="s">
        <v>285</v>
      </c>
      <c r="B4" s="21">
        <v>636</v>
      </c>
      <c r="C4" s="35" t="s">
        <v>286</v>
      </c>
      <c r="D4" s="36" t="s">
        <v>287</v>
      </c>
      <c r="E4" s="15" t="s">
        <v>288</v>
      </c>
      <c r="F4" s="37" t="s">
        <v>289</v>
      </c>
    </row>
    <row r="5" spans="1:6" x14ac:dyDescent="0.3">
      <c r="A5" s="30" t="s">
        <v>290</v>
      </c>
      <c r="B5" s="21">
        <v>694</v>
      </c>
      <c r="C5" s="35" t="s">
        <v>291</v>
      </c>
      <c r="D5" s="34" t="s">
        <v>292</v>
      </c>
      <c r="E5" s="15" t="s">
        <v>293</v>
      </c>
      <c r="F5" s="37" t="s">
        <v>235</v>
      </c>
    </row>
    <row r="6" spans="1:6" x14ac:dyDescent="0.3">
      <c r="A6" s="30" t="s">
        <v>294</v>
      </c>
      <c r="B6" s="21">
        <v>568</v>
      </c>
      <c r="C6" s="35" t="s">
        <v>295</v>
      </c>
      <c r="D6" s="36" t="s">
        <v>296</v>
      </c>
      <c r="E6" s="15" t="s">
        <v>297</v>
      </c>
      <c r="F6" s="37" t="s">
        <v>240</v>
      </c>
    </row>
    <row r="7" spans="1:6" x14ac:dyDescent="0.3">
      <c r="A7" s="30" t="s">
        <v>298</v>
      </c>
      <c r="B7" s="21">
        <v>694</v>
      </c>
      <c r="C7" s="35" t="s">
        <v>291</v>
      </c>
      <c r="D7" s="34" t="s">
        <v>292</v>
      </c>
      <c r="E7" s="15" t="s">
        <v>299</v>
      </c>
      <c r="F7" s="37" t="s">
        <v>300</v>
      </c>
    </row>
    <row r="8" spans="1:6" x14ac:dyDescent="0.3">
      <c r="A8" s="30" t="s">
        <v>301</v>
      </c>
      <c r="B8" s="21">
        <v>539</v>
      </c>
      <c r="C8" s="35" t="s">
        <v>302</v>
      </c>
      <c r="D8" s="9" t="s">
        <v>303</v>
      </c>
      <c r="E8" s="15" t="s">
        <v>304</v>
      </c>
      <c r="F8" s="37" t="s">
        <v>245</v>
      </c>
    </row>
    <row r="10" spans="1:6" ht="20.25" x14ac:dyDescent="0.35">
      <c r="A10" s="82" t="s">
        <v>305</v>
      </c>
      <c r="B10" s="83"/>
      <c r="C10" s="83"/>
      <c r="D10" s="83"/>
      <c r="E10" s="83"/>
      <c r="F10" s="83"/>
    </row>
    <row r="11" spans="1:6" x14ac:dyDescent="0.3">
      <c r="A11" s="2" t="s">
        <v>46</v>
      </c>
      <c r="B11" s="2" t="s">
        <v>21</v>
      </c>
      <c r="C11" s="2" t="s">
        <v>22</v>
      </c>
      <c r="D11" s="2" t="s">
        <v>306</v>
      </c>
      <c r="E11" s="2" t="s">
        <v>23</v>
      </c>
      <c r="F11" s="2" t="s">
        <v>307</v>
      </c>
    </row>
    <row r="12" spans="1:6" x14ac:dyDescent="0.3">
      <c r="A12" s="26" t="s">
        <v>47</v>
      </c>
      <c r="B12" s="21" t="s">
        <v>308</v>
      </c>
      <c r="C12" s="21" t="s">
        <v>309</v>
      </c>
      <c r="D12" s="17" t="s">
        <v>310</v>
      </c>
      <c r="E12" s="21" t="s">
        <v>311</v>
      </c>
      <c r="F12" s="24"/>
    </row>
    <row r="13" spans="1:6" x14ac:dyDescent="0.3">
      <c r="A13" s="26" t="s">
        <v>48</v>
      </c>
      <c r="B13" s="21" t="s">
        <v>312</v>
      </c>
      <c r="C13" s="21" t="s">
        <v>313</v>
      </c>
      <c r="D13" s="8" t="s">
        <v>314</v>
      </c>
      <c r="E13" s="21" t="s">
        <v>315</v>
      </c>
      <c r="F13" s="24"/>
    </row>
    <row r="14" spans="1:6" x14ac:dyDescent="0.3">
      <c r="A14" s="26" t="s">
        <v>49</v>
      </c>
      <c r="B14" s="21" t="s">
        <v>316</v>
      </c>
      <c r="C14" s="21" t="s">
        <v>317</v>
      </c>
      <c r="D14" s="16" t="s">
        <v>318</v>
      </c>
      <c r="E14" s="21" t="s">
        <v>319</v>
      </c>
      <c r="F14" s="24"/>
    </row>
    <row r="15" spans="1:6" x14ac:dyDescent="0.3">
      <c r="A15" s="26" t="s">
        <v>50</v>
      </c>
      <c r="B15" s="21" t="s">
        <v>320</v>
      </c>
      <c r="C15" s="21" t="s">
        <v>321</v>
      </c>
      <c r="D15" s="17" t="s">
        <v>322</v>
      </c>
      <c r="E15" s="21" t="s">
        <v>323</v>
      </c>
      <c r="F15" s="24"/>
    </row>
    <row r="16" spans="1:6" x14ac:dyDescent="0.3">
      <c r="A16" s="38" t="s">
        <v>52</v>
      </c>
      <c r="B16" s="39" t="s">
        <v>324</v>
      </c>
      <c r="C16" s="39" t="s">
        <v>325</v>
      </c>
      <c r="D16" s="34" t="s">
        <v>326</v>
      </c>
      <c r="E16" s="39" t="s">
        <v>327</v>
      </c>
      <c r="F16" s="40" t="s">
        <v>328</v>
      </c>
    </row>
    <row r="17" spans="1:6" x14ac:dyDescent="0.3">
      <c r="A17" s="38" t="s">
        <v>53</v>
      </c>
      <c r="B17" s="39" t="s">
        <v>329</v>
      </c>
      <c r="C17" s="39" t="s">
        <v>330</v>
      </c>
      <c r="D17" s="12" t="s">
        <v>331</v>
      </c>
      <c r="E17" s="39" t="s">
        <v>332</v>
      </c>
      <c r="F17" s="40" t="s">
        <v>333</v>
      </c>
    </row>
    <row r="18" spans="1:6" x14ac:dyDescent="0.3">
      <c r="A18" s="38" t="s">
        <v>54</v>
      </c>
      <c r="B18" s="39" t="s">
        <v>334</v>
      </c>
      <c r="C18" s="39" t="s">
        <v>335</v>
      </c>
      <c r="D18" s="41" t="s">
        <v>336</v>
      </c>
      <c r="E18" s="39" t="s">
        <v>337</v>
      </c>
      <c r="F18" s="40" t="s">
        <v>338</v>
      </c>
    </row>
    <row r="19" spans="1:6" x14ac:dyDescent="0.3">
      <c r="A19" s="9" t="s">
        <v>290</v>
      </c>
      <c r="B19" s="19" t="s">
        <v>339</v>
      </c>
      <c r="C19" s="19" t="s">
        <v>340</v>
      </c>
      <c r="D19" s="9" t="s">
        <v>341</v>
      </c>
      <c r="E19" s="19" t="s">
        <v>342</v>
      </c>
      <c r="F19" s="9"/>
    </row>
    <row r="21" spans="1:6" ht="20.25" x14ac:dyDescent="0.35">
      <c r="A21" s="82" t="s">
        <v>343</v>
      </c>
      <c r="B21" s="83"/>
      <c r="C21" s="83"/>
      <c r="D21" s="83"/>
      <c r="E21" s="83"/>
      <c r="F21" s="83"/>
    </row>
    <row r="22" spans="1:6" x14ac:dyDescent="0.3">
      <c r="A22" s="2" t="s">
        <v>344</v>
      </c>
      <c r="B22" s="2" t="s">
        <v>24</v>
      </c>
      <c r="C22" s="2" t="s">
        <v>345</v>
      </c>
      <c r="D22" s="2" t="s">
        <v>346</v>
      </c>
      <c r="E22" s="2" t="s">
        <v>347</v>
      </c>
      <c r="F22" s="2" t="s">
        <v>348</v>
      </c>
    </row>
    <row r="23" spans="1:6" x14ac:dyDescent="0.3">
      <c r="A23" s="30" t="s">
        <v>285</v>
      </c>
      <c r="B23" s="35" t="s">
        <v>286</v>
      </c>
      <c r="C23" s="21" t="s">
        <v>349</v>
      </c>
      <c r="D23" s="39" t="s">
        <v>350</v>
      </c>
      <c r="E23" s="42" t="s">
        <v>351</v>
      </c>
      <c r="F23" s="42" t="s">
        <v>352</v>
      </c>
    </row>
    <row r="24" spans="1:6" x14ac:dyDescent="0.3">
      <c r="A24" s="30" t="s">
        <v>290</v>
      </c>
      <c r="B24" s="35" t="s">
        <v>291</v>
      </c>
      <c r="C24" s="21" t="s">
        <v>353</v>
      </c>
      <c r="D24" s="39" t="s">
        <v>354</v>
      </c>
      <c r="E24" s="42" t="s">
        <v>355</v>
      </c>
      <c r="F24" s="42" t="s">
        <v>356</v>
      </c>
    </row>
    <row r="25" spans="1:6" x14ac:dyDescent="0.3">
      <c r="A25" s="30" t="s">
        <v>357</v>
      </c>
      <c r="B25" s="35" t="s">
        <v>291</v>
      </c>
      <c r="C25" s="21" t="s">
        <v>353</v>
      </c>
      <c r="D25" s="39" t="s">
        <v>354</v>
      </c>
      <c r="E25" s="42" t="s">
        <v>355</v>
      </c>
      <c r="F25" s="42" t="s">
        <v>356</v>
      </c>
    </row>
    <row r="26" spans="1:6" x14ac:dyDescent="0.3">
      <c r="A26" s="30" t="s">
        <v>301</v>
      </c>
      <c r="B26" s="35" t="s">
        <v>302</v>
      </c>
      <c r="C26" s="21" t="s">
        <v>358</v>
      </c>
      <c r="D26" s="21" t="s">
        <v>359</v>
      </c>
      <c r="E26" s="42" t="s">
        <v>360</v>
      </c>
      <c r="F26" s="42" t="s">
        <v>361</v>
      </c>
    </row>
    <row r="28" spans="1:6" x14ac:dyDescent="0.3">
      <c r="A28" s="91" t="s">
        <v>362</v>
      </c>
      <c r="B28" s="75"/>
      <c r="C28" s="75"/>
      <c r="D28" s="75"/>
      <c r="E28" s="75"/>
      <c r="F28" s="75"/>
    </row>
  </sheetData>
  <mergeCells count="5">
    <mergeCell ref="A2:F2"/>
    <mergeCell ref="A10:F10"/>
    <mergeCell ref="A28:F28"/>
    <mergeCell ref="A1:F1"/>
    <mergeCell ref="A21:F21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44AD"/>
    <pageSetUpPr fitToPage="1"/>
  </sheetPr>
  <dimension ref="A1:F25"/>
  <sheetViews>
    <sheetView workbookViewId="0">
      <selection sqref="A1:F1"/>
    </sheetView>
  </sheetViews>
  <sheetFormatPr defaultRowHeight="16.5" x14ac:dyDescent="0.3"/>
  <cols>
    <col min="1" max="1" width="20" customWidth="1"/>
    <col min="2" max="5" width="16" customWidth="1"/>
    <col min="6" max="6" width="22" customWidth="1"/>
  </cols>
  <sheetData>
    <row r="1" spans="1:6" ht="20.25" x14ac:dyDescent="0.35">
      <c r="A1" s="82" t="s">
        <v>363</v>
      </c>
      <c r="B1" s="83"/>
      <c r="C1" s="83"/>
      <c r="D1" s="83"/>
      <c r="E1" s="83"/>
      <c r="F1" s="83"/>
    </row>
    <row r="2" spans="1:6" ht="20.25" x14ac:dyDescent="0.35">
      <c r="A2" s="82" t="s">
        <v>364</v>
      </c>
      <c r="B2" s="83"/>
      <c r="C2" s="83"/>
      <c r="D2" s="83"/>
      <c r="E2" s="83"/>
      <c r="F2" s="83"/>
    </row>
    <row r="3" spans="1:6" x14ac:dyDescent="0.3">
      <c r="A3" s="2" t="s">
        <v>20</v>
      </c>
      <c r="B3" s="2" t="s">
        <v>365</v>
      </c>
      <c r="C3" s="2" t="s">
        <v>366</v>
      </c>
      <c r="D3" s="2" t="s">
        <v>30</v>
      </c>
      <c r="E3" s="2" t="s">
        <v>24</v>
      </c>
      <c r="F3" s="2" t="s">
        <v>75</v>
      </c>
    </row>
    <row r="4" spans="1:6" x14ac:dyDescent="0.3">
      <c r="A4" s="26" t="s">
        <v>35</v>
      </c>
      <c r="B4" s="21">
        <v>2245</v>
      </c>
      <c r="C4" s="35" t="s">
        <v>367</v>
      </c>
      <c r="D4" s="17" t="s">
        <v>368</v>
      </c>
      <c r="E4" s="21" t="s">
        <v>369</v>
      </c>
      <c r="F4" s="21">
        <v>845</v>
      </c>
    </row>
    <row r="5" spans="1:6" x14ac:dyDescent="0.3">
      <c r="A5" s="26" t="s">
        <v>36</v>
      </c>
      <c r="B5" s="21">
        <v>2529</v>
      </c>
      <c r="C5" s="35" t="s">
        <v>370</v>
      </c>
      <c r="D5" s="17" t="s">
        <v>371</v>
      </c>
      <c r="E5" s="21" t="s">
        <v>372</v>
      </c>
      <c r="F5" s="21">
        <v>384</v>
      </c>
    </row>
    <row r="6" spans="1:6" x14ac:dyDescent="0.3">
      <c r="A6" s="26" t="s">
        <v>37</v>
      </c>
      <c r="B6" s="21">
        <v>2989</v>
      </c>
      <c r="C6" s="35" t="s">
        <v>373</v>
      </c>
      <c r="D6" s="17" t="s">
        <v>374</v>
      </c>
      <c r="E6" s="21" t="s">
        <v>375</v>
      </c>
      <c r="F6" s="21">
        <v>395</v>
      </c>
    </row>
    <row r="7" spans="1:6" x14ac:dyDescent="0.3">
      <c r="A7" s="26" t="s">
        <v>38</v>
      </c>
      <c r="B7" s="21">
        <v>3090</v>
      </c>
      <c r="C7" s="35" t="s">
        <v>376</v>
      </c>
      <c r="D7" s="8" t="s">
        <v>377</v>
      </c>
      <c r="E7" s="21" t="s">
        <v>378</v>
      </c>
      <c r="F7" s="21">
        <v>229</v>
      </c>
    </row>
    <row r="8" spans="1:6" x14ac:dyDescent="0.3">
      <c r="A8" s="26" t="s">
        <v>39</v>
      </c>
      <c r="B8" s="21">
        <v>3236</v>
      </c>
      <c r="C8" s="35" t="s">
        <v>379</v>
      </c>
      <c r="D8" s="8" t="s">
        <v>380</v>
      </c>
      <c r="E8" s="21" t="s">
        <v>381</v>
      </c>
      <c r="F8" s="21">
        <v>279</v>
      </c>
    </row>
    <row r="9" spans="1:6" x14ac:dyDescent="0.3">
      <c r="A9" s="26" t="s">
        <v>40</v>
      </c>
      <c r="B9" s="21">
        <v>3722</v>
      </c>
      <c r="C9" s="35" t="s">
        <v>382</v>
      </c>
      <c r="D9" s="17" t="s">
        <v>218</v>
      </c>
      <c r="E9" s="21" t="s">
        <v>286</v>
      </c>
      <c r="F9" s="21">
        <v>636</v>
      </c>
    </row>
    <row r="11" spans="1:6" ht="20.25" x14ac:dyDescent="0.35">
      <c r="A11" s="82" t="s">
        <v>383</v>
      </c>
      <c r="B11" s="83"/>
      <c r="C11" s="83"/>
      <c r="D11" s="83"/>
      <c r="E11" s="83"/>
      <c r="F11" s="83"/>
    </row>
    <row r="12" spans="1:6" x14ac:dyDescent="0.3">
      <c r="A12" s="30" t="s">
        <v>384</v>
      </c>
      <c r="B12" s="31" t="s">
        <v>385</v>
      </c>
    </row>
    <row r="13" spans="1:6" x14ac:dyDescent="0.3">
      <c r="A13" s="30" t="s">
        <v>386</v>
      </c>
      <c r="B13" s="31" t="s">
        <v>212</v>
      </c>
    </row>
    <row r="14" spans="1:6" x14ac:dyDescent="0.3">
      <c r="A14" s="30" t="s">
        <v>387</v>
      </c>
      <c r="B14" s="31" t="s">
        <v>388</v>
      </c>
    </row>
    <row r="15" spans="1:6" x14ac:dyDescent="0.3">
      <c r="A15" s="30" t="s">
        <v>389</v>
      </c>
      <c r="B15" s="31" t="s">
        <v>390</v>
      </c>
    </row>
    <row r="17" spans="1:6" ht="20.25" x14ac:dyDescent="0.35">
      <c r="A17" s="82" t="s">
        <v>391</v>
      </c>
      <c r="B17" s="83"/>
      <c r="C17" s="83"/>
      <c r="D17" s="83"/>
      <c r="E17" s="83"/>
      <c r="F17" s="83"/>
    </row>
    <row r="18" spans="1:6" x14ac:dyDescent="0.3">
      <c r="A18" s="43" t="s">
        <v>392</v>
      </c>
    </row>
    <row r="19" spans="1:6" x14ac:dyDescent="0.3">
      <c r="A19" s="2" t="s">
        <v>393</v>
      </c>
      <c r="B19" s="2" t="s">
        <v>394</v>
      </c>
      <c r="C19" s="2" t="s">
        <v>395</v>
      </c>
      <c r="D19" s="2" t="s">
        <v>396</v>
      </c>
      <c r="E19" s="2" t="s">
        <v>397</v>
      </c>
      <c r="F19" s="2" t="s">
        <v>398</v>
      </c>
    </row>
    <row r="20" spans="1:6" x14ac:dyDescent="0.3">
      <c r="A20" s="30" t="s">
        <v>399</v>
      </c>
      <c r="B20" s="8" t="s">
        <v>400</v>
      </c>
      <c r="C20" s="8" t="s">
        <v>400</v>
      </c>
      <c r="D20" s="8" t="s">
        <v>401</v>
      </c>
      <c r="E20" s="35" t="s">
        <v>212</v>
      </c>
      <c r="F20" s="44" t="s">
        <v>402</v>
      </c>
    </row>
    <row r="21" spans="1:6" x14ac:dyDescent="0.3">
      <c r="A21" s="30" t="s">
        <v>403</v>
      </c>
      <c r="B21" s="8" t="s">
        <v>404</v>
      </c>
      <c r="C21" s="8" t="s">
        <v>400</v>
      </c>
      <c r="D21" s="8" t="s">
        <v>401</v>
      </c>
      <c r="E21" s="35" t="s">
        <v>405</v>
      </c>
      <c r="F21" s="44" t="s">
        <v>406</v>
      </c>
    </row>
    <row r="22" spans="1:6" x14ac:dyDescent="0.3">
      <c r="A22" s="30" t="s">
        <v>407</v>
      </c>
      <c r="B22" s="8" t="s">
        <v>408</v>
      </c>
      <c r="C22" s="8" t="s">
        <v>400</v>
      </c>
      <c r="D22" s="8" t="s">
        <v>401</v>
      </c>
      <c r="E22" s="35" t="s">
        <v>409</v>
      </c>
      <c r="F22" s="34" t="s">
        <v>410</v>
      </c>
    </row>
    <row r="23" spans="1:6" x14ac:dyDescent="0.3">
      <c r="A23" s="30" t="s">
        <v>411</v>
      </c>
      <c r="B23" s="8" t="s">
        <v>412</v>
      </c>
      <c r="C23" s="8" t="s">
        <v>400</v>
      </c>
      <c r="D23" s="8" t="s">
        <v>413</v>
      </c>
      <c r="E23" s="35" t="s">
        <v>414</v>
      </c>
      <c r="F23" s="34" t="s">
        <v>415</v>
      </c>
    </row>
    <row r="25" spans="1:6" x14ac:dyDescent="0.3">
      <c r="A25" s="91" t="s">
        <v>416</v>
      </c>
      <c r="B25" s="75"/>
      <c r="C25" s="75"/>
      <c r="D25" s="75"/>
      <c r="E25" s="75"/>
      <c r="F25" s="75"/>
    </row>
  </sheetData>
  <mergeCells count="5">
    <mergeCell ref="A2:F2"/>
    <mergeCell ref="A11:F11"/>
    <mergeCell ref="A1:F1"/>
    <mergeCell ref="A17:F17"/>
    <mergeCell ref="A25:F25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  <pageSetUpPr fitToPage="1"/>
  </sheetPr>
  <dimension ref="A1:E37"/>
  <sheetViews>
    <sheetView workbookViewId="0">
      <selection sqref="A1:E1"/>
    </sheetView>
  </sheetViews>
  <sheetFormatPr defaultRowHeight="16.5" x14ac:dyDescent="0.3"/>
  <cols>
    <col min="1" max="1" width="24" customWidth="1"/>
    <col min="2" max="4" width="18" customWidth="1"/>
    <col min="5" max="5" width="24" customWidth="1"/>
  </cols>
  <sheetData>
    <row r="1" spans="1:5" ht="20.25" x14ac:dyDescent="0.35">
      <c r="A1" s="82" t="s">
        <v>417</v>
      </c>
      <c r="B1" s="83"/>
      <c r="C1" s="83"/>
      <c r="D1" s="83"/>
      <c r="E1" s="83"/>
    </row>
    <row r="2" spans="1:5" ht="20.25" x14ac:dyDescent="0.35">
      <c r="A2" s="82" t="s">
        <v>418</v>
      </c>
      <c r="B2" s="83"/>
      <c r="C2" s="83"/>
      <c r="D2" s="83"/>
      <c r="E2" s="83"/>
    </row>
    <row r="3" spans="1:5" x14ac:dyDescent="0.3">
      <c r="A3" s="2" t="s">
        <v>419</v>
      </c>
      <c r="B3" s="2" t="s">
        <v>420</v>
      </c>
      <c r="C3" s="2" t="s">
        <v>88</v>
      </c>
      <c r="D3" s="2"/>
      <c r="E3" s="2"/>
    </row>
    <row r="4" spans="1:5" ht="24" x14ac:dyDescent="0.3">
      <c r="A4" s="27" t="s">
        <v>5</v>
      </c>
      <c r="B4" s="21" t="s">
        <v>421</v>
      </c>
      <c r="C4" s="25" t="s">
        <v>422</v>
      </c>
      <c r="D4" s="15"/>
      <c r="E4" s="15"/>
    </row>
    <row r="5" spans="1:5" x14ac:dyDescent="0.3">
      <c r="A5" s="27" t="s">
        <v>423</v>
      </c>
      <c r="B5" s="21" t="s">
        <v>424</v>
      </c>
      <c r="C5" s="25" t="s">
        <v>425</v>
      </c>
      <c r="D5" s="15"/>
      <c r="E5" s="15"/>
    </row>
    <row r="6" spans="1:5" x14ac:dyDescent="0.3">
      <c r="A6" s="27" t="s">
        <v>426</v>
      </c>
      <c r="B6" s="21" t="s">
        <v>427</v>
      </c>
      <c r="C6" s="25"/>
      <c r="D6" s="15"/>
      <c r="E6" s="15"/>
    </row>
    <row r="7" spans="1:5" x14ac:dyDescent="0.3">
      <c r="A7" s="18" t="s">
        <v>428</v>
      </c>
      <c r="B7" s="35" t="s">
        <v>429</v>
      </c>
      <c r="C7" s="25"/>
      <c r="D7" s="15"/>
      <c r="E7" s="15"/>
    </row>
    <row r="8" spans="1:5" x14ac:dyDescent="0.3">
      <c r="A8" s="18" t="s">
        <v>430</v>
      </c>
      <c r="B8" s="35" t="s">
        <v>431</v>
      </c>
      <c r="C8" s="25" t="s">
        <v>432</v>
      </c>
      <c r="D8" s="15"/>
      <c r="E8" s="15"/>
    </row>
    <row r="10" spans="1:5" ht="20.25" x14ac:dyDescent="0.35">
      <c r="A10" s="82" t="s">
        <v>433</v>
      </c>
      <c r="B10" s="83"/>
      <c r="C10" s="83"/>
      <c r="D10" s="83"/>
      <c r="E10" s="83"/>
    </row>
    <row r="11" spans="1:5" x14ac:dyDescent="0.3">
      <c r="A11" s="2" t="s">
        <v>419</v>
      </c>
      <c r="B11" s="2" t="s">
        <v>434</v>
      </c>
      <c r="C11" s="2" t="s">
        <v>88</v>
      </c>
      <c r="D11" s="2"/>
      <c r="E11" s="2"/>
    </row>
    <row r="12" spans="1:5" x14ac:dyDescent="0.3">
      <c r="A12" s="27" t="s">
        <v>22</v>
      </c>
      <c r="B12" s="21" t="s">
        <v>435</v>
      </c>
      <c r="C12" s="25"/>
      <c r="D12" s="15"/>
      <c r="E12" s="15"/>
    </row>
    <row r="13" spans="1:5" x14ac:dyDescent="0.3">
      <c r="A13" s="27" t="s">
        <v>436</v>
      </c>
      <c r="B13" s="21" t="s">
        <v>437</v>
      </c>
      <c r="C13" s="25" t="s">
        <v>438</v>
      </c>
      <c r="D13" s="15"/>
      <c r="E13" s="15"/>
    </row>
    <row r="14" spans="1:5" x14ac:dyDescent="0.3">
      <c r="A14" s="27" t="s">
        <v>439</v>
      </c>
      <c r="B14" s="21" t="s">
        <v>440</v>
      </c>
      <c r="C14" s="25"/>
      <c r="D14" s="15"/>
      <c r="E14" s="15"/>
    </row>
    <row r="15" spans="1:5" x14ac:dyDescent="0.3">
      <c r="A15" s="27" t="s">
        <v>441</v>
      </c>
      <c r="B15" s="21" t="s">
        <v>442</v>
      </c>
      <c r="C15" s="25"/>
      <c r="D15" s="15"/>
      <c r="E15" s="15"/>
    </row>
    <row r="16" spans="1:5" x14ac:dyDescent="0.3">
      <c r="A16" s="18" t="s">
        <v>443</v>
      </c>
      <c r="B16" s="35" t="s">
        <v>444</v>
      </c>
      <c r="C16" s="25" t="s">
        <v>445</v>
      </c>
      <c r="D16" s="15"/>
      <c r="E16" s="15"/>
    </row>
    <row r="18" spans="1:5" ht="20.25" x14ac:dyDescent="0.35">
      <c r="A18" s="82" t="s">
        <v>446</v>
      </c>
      <c r="B18" s="83"/>
      <c r="C18" s="83"/>
      <c r="D18" s="83"/>
      <c r="E18" s="83"/>
    </row>
    <row r="19" spans="1:5" x14ac:dyDescent="0.3">
      <c r="A19" s="2" t="s">
        <v>344</v>
      </c>
      <c r="B19" s="2" t="s">
        <v>447</v>
      </c>
      <c r="C19" s="2" t="s">
        <v>448</v>
      </c>
      <c r="D19" s="2" t="s">
        <v>449</v>
      </c>
      <c r="E19" s="2" t="s">
        <v>450</v>
      </c>
    </row>
    <row r="20" spans="1:5" x14ac:dyDescent="0.3">
      <c r="A20" s="30" t="s">
        <v>285</v>
      </c>
      <c r="B20" s="21" t="s">
        <v>444</v>
      </c>
      <c r="C20" s="31" t="s">
        <v>252</v>
      </c>
      <c r="D20" s="21" t="s">
        <v>451</v>
      </c>
      <c r="E20" s="42" t="s">
        <v>452</v>
      </c>
    </row>
    <row r="21" spans="1:5" x14ac:dyDescent="0.3">
      <c r="A21" s="30" t="s">
        <v>290</v>
      </c>
      <c r="B21" s="21" t="s">
        <v>453</v>
      </c>
      <c r="C21" s="31" t="s">
        <v>454</v>
      </c>
      <c r="D21" s="21" t="s">
        <v>455</v>
      </c>
      <c r="E21" s="42" t="s">
        <v>456</v>
      </c>
    </row>
    <row r="22" spans="1:5" x14ac:dyDescent="0.3">
      <c r="A22" s="30" t="s">
        <v>294</v>
      </c>
      <c r="B22" s="21" t="s">
        <v>457</v>
      </c>
      <c r="C22" s="31" t="s">
        <v>458</v>
      </c>
      <c r="D22" s="21" t="s">
        <v>459</v>
      </c>
      <c r="E22" s="42" t="s">
        <v>460</v>
      </c>
    </row>
    <row r="24" spans="1:5" ht="20.25" x14ac:dyDescent="0.35">
      <c r="A24" s="82" t="s">
        <v>461</v>
      </c>
      <c r="B24" s="83"/>
      <c r="C24" s="83"/>
      <c r="D24" s="83"/>
      <c r="E24" s="83"/>
    </row>
    <row r="25" spans="1:5" x14ac:dyDescent="0.3">
      <c r="A25" s="2" t="s">
        <v>419</v>
      </c>
      <c r="B25" s="2" t="s">
        <v>434</v>
      </c>
      <c r="C25" s="2" t="s">
        <v>88</v>
      </c>
      <c r="D25" s="2"/>
      <c r="E25" s="2"/>
    </row>
    <row r="26" spans="1:5" x14ac:dyDescent="0.3">
      <c r="A26" s="27" t="s">
        <v>462</v>
      </c>
      <c r="B26" s="21" t="s">
        <v>463</v>
      </c>
      <c r="C26" s="25"/>
      <c r="D26" s="15"/>
      <c r="E26" s="15"/>
    </row>
    <row r="27" spans="1:5" x14ac:dyDescent="0.3">
      <c r="A27" s="27" t="s">
        <v>464</v>
      </c>
      <c r="B27" s="21" t="s">
        <v>465</v>
      </c>
      <c r="C27" s="25" t="s">
        <v>466</v>
      </c>
      <c r="D27" s="15"/>
      <c r="E27" s="15"/>
    </row>
    <row r="28" spans="1:5" x14ac:dyDescent="0.3">
      <c r="A28" s="18" t="s">
        <v>467</v>
      </c>
      <c r="B28" s="35" t="s">
        <v>468</v>
      </c>
      <c r="C28" s="25"/>
      <c r="D28" s="15"/>
      <c r="E28" s="15"/>
    </row>
    <row r="29" spans="1:5" x14ac:dyDescent="0.3">
      <c r="A29" s="27" t="s">
        <v>469</v>
      </c>
      <c r="B29" s="21" t="s">
        <v>470</v>
      </c>
      <c r="C29" s="25"/>
      <c r="D29" s="15"/>
      <c r="E29" s="15"/>
    </row>
    <row r="30" spans="1:5" x14ac:dyDescent="0.3">
      <c r="A30" s="18" t="s">
        <v>270</v>
      </c>
      <c r="B30" s="35" t="s">
        <v>272</v>
      </c>
      <c r="C30" s="25"/>
      <c r="D30" s="15"/>
      <c r="E30" s="15"/>
    </row>
    <row r="32" spans="1:5" x14ac:dyDescent="0.3">
      <c r="A32" s="27" t="s">
        <v>471</v>
      </c>
      <c r="B32" s="21" t="s">
        <v>472</v>
      </c>
      <c r="C32" s="25" t="s">
        <v>473</v>
      </c>
      <c r="D32" s="15"/>
      <c r="E32" s="15"/>
    </row>
    <row r="33" spans="1:5" x14ac:dyDescent="0.3">
      <c r="A33" s="27" t="s">
        <v>120</v>
      </c>
      <c r="B33" s="21" t="s">
        <v>474</v>
      </c>
      <c r="C33" s="25"/>
      <c r="D33" s="15"/>
      <c r="E33" s="15"/>
    </row>
    <row r="34" spans="1:5" x14ac:dyDescent="0.3">
      <c r="A34" s="18" t="s">
        <v>475</v>
      </c>
      <c r="B34" s="35" t="s">
        <v>476</v>
      </c>
      <c r="C34" s="25"/>
      <c r="D34" s="15"/>
      <c r="E34" s="15"/>
    </row>
    <row r="35" spans="1:5" x14ac:dyDescent="0.3">
      <c r="A35" s="18" t="s">
        <v>275</v>
      </c>
      <c r="B35" s="35" t="s">
        <v>277</v>
      </c>
      <c r="C35" s="25"/>
      <c r="D35" s="15"/>
      <c r="E35" s="15"/>
    </row>
    <row r="37" spans="1:5" x14ac:dyDescent="0.3">
      <c r="A37" s="91" t="s">
        <v>477</v>
      </c>
      <c r="B37" s="75"/>
      <c r="C37" s="75"/>
      <c r="D37" s="75"/>
      <c r="E37" s="75"/>
    </row>
  </sheetData>
  <mergeCells count="6">
    <mergeCell ref="A24:E24"/>
    <mergeCell ref="A2:E2"/>
    <mergeCell ref="A10:E10"/>
    <mergeCell ref="A1:E1"/>
    <mergeCell ref="A37:E37"/>
    <mergeCell ref="A18:E18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CC71"/>
    <pageSetUpPr fitToPage="1"/>
  </sheetPr>
  <dimension ref="A1:E26"/>
  <sheetViews>
    <sheetView tabSelected="1" topLeftCell="A9" workbookViewId="0">
      <selection activeCell="E18" sqref="E18"/>
    </sheetView>
  </sheetViews>
  <sheetFormatPr defaultRowHeight="16.5" x14ac:dyDescent="0.3"/>
  <cols>
    <col min="1" max="1" width="22" customWidth="1"/>
    <col min="2" max="4" width="18" customWidth="1"/>
    <col min="5" max="5" width="22" customWidth="1"/>
  </cols>
  <sheetData>
    <row r="1" spans="1:5" ht="20.25" x14ac:dyDescent="0.35">
      <c r="A1" s="82" t="s">
        <v>478</v>
      </c>
      <c r="B1" s="83"/>
      <c r="C1" s="83"/>
      <c r="D1" s="83"/>
      <c r="E1" s="83"/>
    </row>
    <row r="2" spans="1:5" ht="20.25" x14ac:dyDescent="0.35">
      <c r="A2" s="82" t="s">
        <v>479</v>
      </c>
      <c r="B2" s="83"/>
      <c r="C2" s="83"/>
      <c r="D2" s="83"/>
      <c r="E2" s="83"/>
    </row>
    <row r="3" spans="1:5" x14ac:dyDescent="0.3">
      <c r="A3" s="2" t="s">
        <v>480</v>
      </c>
      <c r="B3" s="2" t="s">
        <v>481</v>
      </c>
      <c r="C3" s="2" t="s">
        <v>482</v>
      </c>
      <c r="D3" s="2" t="s">
        <v>483</v>
      </c>
      <c r="E3" s="2" t="s">
        <v>484</v>
      </c>
    </row>
    <row r="4" spans="1:5" x14ac:dyDescent="0.3">
      <c r="A4" s="30" t="s">
        <v>485</v>
      </c>
      <c r="B4" s="45" t="s">
        <v>486</v>
      </c>
      <c r="C4" s="35" t="s">
        <v>487</v>
      </c>
      <c r="D4" s="42" t="s">
        <v>488</v>
      </c>
      <c r="E4" s="25" t="s">
        <v>489</v>
      </c>
    </row>
    <row r="5" spans="1:5" x14ac:dyDescent="0.3">
      <c r="A5" s="30" t="s">
        <v>490</v>
      </c>
      <c r="B5" s="45" t="s">
        <v>212</v>
      </c>
      <c r="C5" s="35" t="s">
        <v>388</v>
      </c>
      <c r="D5" s="42" t="s">
        <v>390</v>
      </c>
      <c r="E5" s="25" t="s">
        <v>491</v>
      </c>
    </row>
    <row r="6" spans="1:5" x14ac:dyDescent="0.3">
      <c r="A6" s="30" t="s">
        <v>250</v>
      </c>
      <c r="B6" s="45" t="s">
        <v>492</v>
      </c>
      <c r="C6" s="35" t="s">
        <v>452</v>
      </c>
      <c r="D6" s="42" t="s">
        <v>493</v>
      </c>
      <c r="E6" s="25" t="s">
        <v>494</v>
      </c>
    </row>
    <row r="7" spans="1:5" x14ac:dyDescent="0.3">
      <c r="A7" s="30" t="s">
        <v>495</v>
      </c>
      <c r="B7" s="45" t="s">
        <v>212</v>
      </c>
      <c r="C7" s="35" t="s">
        <v>405</v>
      </c>
      <c r="D7" s="42" t="s">
        <v>409</v>
      </c>
      <c r="E7" s="25" t="s">
        <v>496</v>
      </c>
    </row>
    <row r="8" spans="1:5" x14ac:dyDescent="0.3">
      <c r="A8" s="30" t="s">
        <v>497</v>
      </c>
      <c r="B8" s="45" t="s">
        <v>498</v>
      </c>
      <c r="C8" s="35" t="s">
        <v>499</v>
      </c>
      <c r="D8" s="42" t="s">
        <v>500</v>
      </c>
      <c r="E8" s="25" t="s">
        <v>501</v>
      </c>
    </row>
    <row r="9" spans="1:5" ht="20.25" x14ac:dyDescent="0.35">
      <c r="A9" s="82" t="s">
        <v>502</v>
      </c>
      <c r="B9" s="83"/>
      <c r="C9" s="83"/>
      <c r="D9" s="83"/>
      <c r="E9" s="83"/>
    </row>
    <row r="10" spans="1:5" x14ac:dyDescent="0.3">
      <c r="A10" s="46" t="s">
        <v>393</v>
      </c>
      <c r="B10" s="46" t="s">
        <v>503</v>
      </c>
      <c r="C10" s="46" t="s">
        <v>398</v>
      </c>
      <c r="D10" s="46" t="s">
        <v>504</v>
      </c>
      <c r="E10" s="46" t="s">
        <v>505</v>
      </c>
    </row>
    <row r="11" spans="1:5" ht="27" x14ac:dyDescent="0.3">
      <c r="A11" s="40" t="s">
        <v>506</v>
      </c>
      <c r="B11" s="47" t="s">
        <v>507</v>
      </c>
      <c r="C11" s="34" t="s">
        <v>508</v>
      </c>
      <c r="D11" s="48" t="s">
        <v>509</v>
      </c>
      <c r="E11" s="12" t="s">
        <v>510</v>
      </c>
    </row>
    <row r="12" spans="1:5" ht="27" x14ac:dyDescent="0.3">
      <c r="A12" s="9" t="s">
        <v>511</v>
      </c>
      <c r="B12" s="49" t="s">
        <v>487</v>
      </c>
      <c r="C12" s="31" t="s">
        <v>512</v>
      </c>
      <c r="D12" s="50" t="s">
        <v>513</v>
      </c>
      <c r="E12" s="51" t="s">
        <v>514</v>
      </c>
    </row>
    <row r="13" spans="1:5" ht="27" x14ac:dyDescent="0.3">
      <c r="A13" s="52" t="s">
        <v>515</v>
      </c>
      <c r="B13" s="53" t="s">
        <v>516</v>
      </c>
      <c r="C13" s="44" t="s">
        <v>517</v>
      </c>
      <c r="D13" s="54" t="s">
        <v>518</v>
      </c>
      <c r="E13" s="55" t="s">
        <v>519</v>
      </c>
    </row>
    <row r="14" spans="1:5" ht="34.5" x14ac:dyDescent="0.3">
      <c r="A14" s="56" t="s">
        <v>520</v>
      </c>
      <c r="B14" s="57" t="s">
        <v>521</v>
      </c>
      <c r="C14" s="56" t="s">
        <v>522</v>
      </c>
      <c r="D14" s="58" t="s">
        <v>523</v>
      </c>
      <c r="E14" s="56"/>
    </row>
    <row r="15" spans="1:5" ht="21" thickBot="1" x14ac:dyDescent="0.4">
      <c r="A15" s="82" t="s">
        <v>524</v>
      </c>
      <c r="B15" s="83"/>
      <c r="C15" s="83"/>
      <c r="D15" s="83"/>
      <c r="E15" s="83"/>
    </row>
    <row r="16" spans="1:5" x14ac:dyDescent="0.3">
      <c r="A16" s="99" t="s">
        <v>525</v>
      </c>
      <c r="B16" s="75"/>
      <c r="C16" s="96" t="s">
        <v>526</v>
      </c>
      <c r="D16" s="75"/>
    </row>
    <row r="17" spans="1:4" x14ac:dyDescent="0.3">
      <c r="A17" s="92" t="s">
        <v>527</v>
      </c>
      <c r="B17" s="87"/>
      <c r="C17" s="94" t="s">
        <v>528</v>
      </c>
      <c r="D17" s="87"/>
    </row>
    <row r="18" spans="1:4" x14ac:dyDescent="0.3">
      <c r="A18" s="92" t="s">
        <v>529</v>
      </c>
      <c r="B18" s="87"/>
      <c r="C18" s="94" t="s">
        <v>530</v>
      </c>
      <c r="D18" s="87"/>
    </row>
    <row r="19" spans="1:4" x14ac:dyDescent="0.3">
      <c r="A19" s="92" t="s">
        <v>531</v>
      </c>
      <c r="B19" s="87"/>
      <c r="C19" s="94" t="s">
        <v>532</v>
      </c>
      <c r="D19" s="87"/>
    </row>
    <row r="20" spans="1:4" x14ac:dyDescent="0.3">
      <c r="A20" s="92" t="s">
        <v>533</v>
      </c>
      <c r="B20" s="87"/>
      <c r="C20" s="94" t="s">
        <v>534</v>
      </c>
      <c r="D20" s="87"/>
    </row>
    <row r="21" spans="1:4" x14ac:dyDescent="0.3">
      <c r="A21" s="92" t="s">
        <v>535</v>
      </c>
      <c r="B21" s="87"/>
      <c r="C21" s="94" t="s">
        <v>536</v>
      </c>
      <c r="D21" s="87"/>
    </row>
    <row r="22" spans="1:4" x14ac:dyDescent="0.3">
      <c r="A22" s="97" t="s">
        <v>537</v>
      </c>
      <c r="B22" s="75"/>
      <c r="C22" s="98" t="s">
        <v>538</v>
      </c>
      <c r="D22" s="75"/>
    </row>
    <row r="23" spans="1:4" x14ac:dyDescent="0.3">
      <c r="A23" s="93" t="s">
        <v>539</v>
      </c>
      <c r="B23" s="87"/>
      <c r="C23" s="95" t="s">
        <v>540</v>
      </c>
      <c r="D23" s="87"/>
    </row>
    <row r="24" spans="1:4" x14ac:dyDescent="0.3">
      <c r="A24" s="93" t="s">
        <v>541</v>
      </c>
      <c r="B24" s="87"/>
      <c r="C24" s="95" t="s">
        <v>542</v>
      </c>
      <c r="D24" s="87"/>
    </row>
    <row r="25" spans="1:4" x14ac:dyDescent="0.3">
      <c r="A25" s="93" t="s">
        <v>543</v>
      </c>
      <c r="B25" s="87"/>
      <c r="C25" s="95" t="s">
        <v>544</v>
      </c>
      <c r="D25" s="87"/>
    </row>
    <row r="26" spans="1:4" x14ac:dyDescent="0.3">
      <c r="A26" s="93" t="s">
        <v>545</v>
      </c>
      <c r="B26" s="87"/>
      <c r="C26" s="95" t="s">
        <v>546</v>
      </c>
      <c r="D26" s="87"/>
    </row>
  </sheetData>
  <mergeCells count="26">
    <mergeCell ref="C26:D26"/>
    <mergeCell ref="A17:B17"/>
    <mergeCell ref="C17:D17"/>
    <mergeCell ref="A2:E2"/>
    <mergeCell ref="C22:D22"/>
    <mergeCell ref="A19:B19"/>
    <mergeCell ref="C19:D19"/>
    <mergeCell ref="A18:B18"/>
    <mergeCell ref="A16:B16"/>
    <mergeCell ref="A24:B24"/>
    <mergeCell ref="A9:E9"/>
    <mergeCell ref="A15:E15"/>
    <mergeCell ref="A23:B23"/>
    <mergeCell ref="C23:D23"/>
    <mergeCell ref="A26:B26"/>
    <mergeCell ref="A20:B20"/>
    <mergeCell ref="A25:B25"/>
    <mergeCell ref="C20:D20"/>
    <mergeCell ref="C25:D25"/>
    <mergeCell ref="A1:E1"/>
    <mergeCell ref="C16:D16"/>
    <mergeCell ref="C24:D24"/>
    <mergeCell ref="A21:B21"/>
    <mergeCell ref="C21:D21"/>
    <mergeCell ref="C18:D18"/>
    <mergeCell ref="A22:B22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ABC9C"/>
    <pageSetUpPr fitToPage="1"/>
  </sheetPr>
  <dimension ref="A1:D45"/>
  <sheetViews>
    <sheetView topLeftCell="A5" workbookViewId="0">
      <selection activeCell="E21" sqref="E21"/>
    </sheetView>
  </sheetViews>
  <sheetFormatPr defaultRowHeight="16.5" x14ac:dyDescent="0.3"/>
  <cols>
    <col min="1" max="1" width="7.625" bestFit="1" customWidth="1"/>
    <col min="2" max="2" width="30" customWidth="1"/>
    <col min="3" max="3" width="40" customWidth="1"/>
    <col min="4" max="4" width="20" customWidth="1"/>
  </cols>
  <sheetData>
    <row r="1" spans="1:4" ht="20.25" x14ac:dyDescent="0.35">
      <c r="A1" s="82" t="s">
        <v>547</v>
      </c>
      <c r="B1" s="83"/>
      <c r="C1" s="83"/>
      <c r="D1" s="83"/>
    </row>
    <row r="3" spans="1:4" x14ac:dyDescent="0.3">
      <c r="A3" s="2" t="s">
        <v>548</v>
      </c>
      <c r="B3" s="2" t="s">
        <v>419</v>
      </c>
      <c r="C3" s="2" t="s">
        <v>549</v>
      </c>
      <c r="D3" s="2" t="s">
        <v>550</v>
      </c>
    </row>
    <row r="4" spans="1:4" ht="45" customHeight="1" x14ac:dyDescent="0.3">
      <c r="A4" s="59" t="s">
        <v>551</v>
      </c>
      <c r="B4" s="30" t="s">
        <v>552</v>
      </c>
      <c r="C4" s="15" t="s">
        <v>553</v>
      </c>
      <c r="D4" s="60" t="s">
        <v>554</v>
      </c>
    </row>
    <row r="5" spans="1:4" ht="45" customHeight="1" x14ac:dyDescent="0.3">
      <c r="A5" s="59" t="s">
        <v>555</v>
      </c>
      <c r="B5" s="30" t="s">
        <v>556</v>
      </c>
      <c r="C5" s="15" t="s">
        <v>557</v>
      </c>
      <c r="D5" s="60" t="s">
        <v>558</v>
      </c>
    </row>
    <row r="6" spans="1:4" ht="45" customHeight="1" x14ac:dyDescent="0.3">
      <c r="A6" s="59" t="s">
        <v>559</v>
      </c>
      <c r="B6" s="30" t="s">
        <v>560</v>
      </c>
      <c r="C6" s="15" t="s">
        <v>561</v>
      </c>
      <c r="D6" s="60" t="s">
        <v>562</v>
      </c>
    </row>
    <row r="7" spans="1:4" ht="45" customHeight="1" x14ac:dyDescent="0.3">
      <c r="A7" s="59" t="s">
        <v>440</v>
      </c>
      <c r="B7" s="30" t="s">
        <v>563</v>
      </c>
      <c r="C7" s="15" t="s">
        <v>564</v>
      </c>
      <c r="D7" s="60" t="s">
        <v>565</v>
      </c>
    </row>
    <row r="8" spans="1:4" ht="45" customHeight="1" x14ac:dyDescent="0.3">
      <c r="A8" s="59" t="s">
        <v>566</v>
      </c>
      <c r="B8" s="30" t="s">
        <v>567</v>
      </c>
      <c r="C8" s="15" t="s">
        <v>568</v>
      </c>
      <c r="D8" s="60" t="s">
        <v>569</v>
      </c>
    </row>
    <row r="11" spans="1:4" ht="20.25" x14ac:dyDescent="0.35">
      <c r="A11" s="82" t="s">
        <v>570</v>
      </c>
      <c r="B11" s="83"/>
      <c r="C11" s="83"/>
      <c r="D11" s="83"/>
    </row>
    <row r="12" spans="1:4" x14ac:dyDescent="0.3">
      <c r="A12" s="2" t="s">
        <v>571</v>
      </c>
      <c r="B12" s="2" t="s">
        <v>572</v>
      </c>
      <c r="C12" s="2" t="s">
        <v>573</v>
      </c>
    </row>
    <row r="13" spans="1:4" x14ac:dyDescent="0.3">
      <c r="A13" s="26" t="s">
        <v>574</v>
      </c>
      <c r="B13" s="15" t="s">
        <v>575</v>
      </c>
      <c r="C13" s="9" t="s">
        <v>576</v>
      </c>
    </row>
    <row r="14" spans="1:4" x14ac:dyDescent="0.3">
      <c r="A14" s="26" t="s">
        <v>577</v>
      </c>
      <c r="B14" s="15" t="s">
        <v>578</v>
      </c>
      <c r="C14" s="9" t="s">
        <v>576</v>
      </c>
    </row>
    <row r="15" spans="1:4" x14ac:dyDescent="0.3">
      <c r="A15" s="26" t="s">
        <v>579</v>
      </c>
      <c r="B15" s="15" t="s">
        <v>580</v>
      </c>
      <c r="C15" s="9" t="s">
        <v>576</v>
      </c>
    </row>
    <row r="16" spans="1:4" x14ac:dyDescent="0.3">
      <c r="A16" s="26" t="s">
        <v>581</v>
      </c>
      <c r="B16" s="15" t="s">
        <v>582</v>
      </c>
      <c r="C16" s="9" t="s">
        <v>583</v>
      </c>
    </row>
    <row r="17" spans="1:4" x14ac:dyDescent="0.3">
      <c r="A17" s="26" t="s">
        <v>584</v>
      </c>
      <c r="B17" s="15" t="s">
        <v>585</v>
      </c>
      <c r="C17" s="9" t="s">
        <v>576</v>
      </c>
    </row>
    <row r="18" spans="1:4" x14ac:dyDescent="0.3">
      <c r="A18" s="26" t="s">
        <v>586</v>
      </c>
      <c r="B18" s="15" t="s">
        <v>587</v>
      </c>
      <c r="C18" s="9" t="s">
        <v>583</v>
      </c>
    </row>
    <row r="19" spans="1:4" x14ac:dyDescent="0.3">
      <c r="A19" s="26" t="s">
        <v>588</v>
      </c>
      <c r="B19" s="15" t="s">
        <v>589</v>
      </c>
      <c r="C19" s="9" t="s">
        <v>583</v>
      </c>
    </row>
    <row r="20" spans="1:4" x14ac:dyDescent="0.3">
      <c r="A20" s="26" t="s">
        <v>590</v>
      </c>
      <c r="B20" s="15" t="s">
        <v>591</v>
      </c>
      <c r="C20" s="9" t="s">
        <v>592</v>
      </c>
    </row>
    <row r="21" spans="1:4" x14ac:dyDescent="0.3">
      <c r="A21" s="26" t="s">
        <v>590</v>
      </c>
      <c r="B21" s="15" t="s">
        <v>593</v>
      </c>
      <c r="C21" s="9" t="s">
        <v>583</v>
      </c>
    </row>
    <row r="24" spans="1:4" ht="21" thickBot="1" x14ac:dyDescent="0.4">
      <c r="A24" s="82" t="s">
        <v>594</v>
      </c>
      <c r="B24" s="83"/>
      <c r="C24" s="83"/>
      <c r="D24" s="83"/>
    </row>
    <row r="25" spans="1:4" x14ac:dyDescent="0.3">
      <c r="A25" s="2" t="s">
        <v>595</v>
      </c>
      <c r="B25" s="2" t="s">
        <v>596</v>
      </c>
      <c r="C25" s="123" t="s">
        <v>597</v>
      </c>
      <c r="D25" s="124"/>
    </row>
    <row r="26" spans="1:4" ht="30.75" customHeight="1" x14ac:dyDescent="0.3">
      <c r="A26" s="8" t="s">
        <v>598</v>
      </c>
      <c r="B26" s="24" t="s">
        <v>599</v>
      </c>
      <c r="C26" s="121" t="s">
        <v>600</v>
      </c>
      <c r="D26" s="122"/>
    </row>
    <row r="27" spans="1:4" ht="30.75" customHeight="1" x14ac:dyDescent="0.3">
      <c r="A27" s="8" t="s">
        <v>601</v>
      </c>
      <c r="B27" s="24" t="s">
        <v>602</v>
      </c>
      <c r="C27" s="121" t="s">
        <v>603</v>
      </c>
      <c r="D27" s="122"/>
    </row>
    <row r="28" spans="1:4" ht="30.75" customHeight="1" x14ac:dyDescent="0.3">
      <c r="A28" s="8" t="s">
        <v>604</v>
      </c>
      <c r="B28" s="24" t="s">
        <v>605</v>
      </c>
      <c r="C28" s="121" t="s">
        <v>606</v>
      </c>
      <c r="D28" s="122"/>
    </row>
    <row r="29" spans="1:4" ht="30.75" customHeight="1" x14ac:dyDescent="0.3">
      <c r="A29" s="8" t="s">
        <v>607</v>
      </c>
      <c r="B29" s="24" t="s">
        <v>129</v>
      </c>
      <c r="C29" s="121" t="s">
        <v>608</v>
      </c>
      <c r="D29" s="122"/>
    </row>
    <row r="30" spans="1:4" ht="30.75" customHeight="1" x14ac:dyDescent="0.3">
      <c r="A30" s="8" t="s">
        <v>609</v>
      </c>
      <c r="B30" s="24" t="s">
        <v>602</v>
      </c>
      <c r="C30" s="121" t="s">
        <v>603</v>
      </c>
      <c r="D30" s="122"/>
    </row>
    <row r="31" spans="1:4" ht="30.75" customHeight="1" x14ac:dyDescent="0.3">
      <c r="A31" s="8" t="s">
        <v>610</v>
      </c>
      <c r="B31" s="24" t="s">
        <v>602</v>
      </c>
      <c r="C31" s="121" t="s">
        <v>603</v>
      </c>
      <c r="D31" s="122"/>
    </row>
    <row r="32" spans="1:4" ht="30.75" customHeight="1" x14ac:dyDescent="0.3">
      <c r="A32" s="8" t="s">
        <v>611</v>
      </c>
      <c r="B32" s="24" t="s">
        <v>612</v>
      </c>
      <c r="C32" s="121" t="s">
        <v>613</v>
      </c>
      <c r="D32" s="122"/>
    </row>
    <row r="33" spans="1:4" ht="30.75" customHeight="1" x14ac:dyDescent="0.3">
      <c r="A33" s="8" t="s">
        <v>614</v>
      </c>
      <c r="B33" s="24" t="s">
        <v>129</v>
      </c>
      <c r="C33" s="121" t="s">
        <v>615</v>
      </c>
      <c r="D33" s="122"/>
    </row>
    <row r="34" spans="1:4" ht="30.75" customHeight="1" x14ac:dyDescent="0.3">
      <c r="A34" s="8" t="s">
        <v>616</v>
      </c>
      <c r="B34" s="24" t="s">
        <v>599</v>
      </c>
      <c r="C34" s="121" t="s">
        <v>600</v>
      </c>
      <c r="D34" s="122"/>
    </row>
    <row r="35" spans="1:4" ht="30.75" customHeight="1" x14ac:dyDescent="0.3">
      <c r="A35" s="8" t="s">
        <v>617</v>
      </c>
      <c r="B35" s="24" t="s">
        <v>602</v>
      </c>
      <c r="C35" s="121" t="s">
        <v>603</v>
      </c>
      <c r="D35" s="122"/>
    </row>
    <row r="36" spans="1:4" ht="30.75" customHeight="1" x14ac:dyDescent="0.3">
      <c r="A36" s="8" t="s">
        <v>618</v>
      </c>
      <c r="B36" s="24" t="s">
        <v>129</v>
      </c>
      <c r="C36" s="121" t="s">
        <v>619</v>
      </c>
      <c r="D36" s="122"/>
    </row>
    <row r="37" spans="1:4" ht="30.75" customHeight="1" x14ac:dyDescent="0.3">
      <c r="A37" s="8" t="s">
        <v>620</v>
      </c>
      <c r="B37" s="24" t="s">
        <v>129</v>
      </c>
      <c r="C37" s="121" t="s">
        <v>621</v>
      </c>
      <c r="D37" s="122"/>
    </row>
    <row r="38" spans="1:4" ht="30.75" customHeight="1" x14ac:dyDescent="0.3">
      <c r="A38" s="8" t="s">
        <v>622</v>
      </c>
      <c r="B38" s="24" t="s">
        <v>602</v>
      </c>
      <c r="C38" s="121" t="s">
        <v>603</v>
      </c>
      <c r="D38" s="122"/>
    </row>
    <row r="39" spans="1:4" ht="30.75" customHeight="1" x14ac:dyDescent="0.3">
      <c r="A39" s="8" t="s">
        <v>623</v>
      </c>
      <c r="B39" s="24" t="s">
        <v>602</v>
      </c>
      <c r="C39" s="121" t="s">
        <v>603</v>
      </c>
      <c r="D39" s="122"/>
    </row>
    <row r="40" spans="1:4" ht="30.75" customHeight="1" x14ac:dyDescent="0.3">
      <c r="A40" s="8" t="s">
        <v>624</v>
      </c>
      <c r="B40" s="24" t="s">
        <v>129</v>
      </c>
      <c r="C40" s="121" t="s">
        <v>625</v>
      </c>
      <c r="D40" s="122"/>
    </row>
    <row r="41" spans="1:4" ht="30.75" customHeight="1" x14ac:dyDescent="0.3">
      <c r="A41" s="8" t="s">
        <v>626</v>
      </c>
      <c r="B41" s="24" t="s">
        <v>612</v>
      </c>
      <c r="C41" s="121" t="s">
        <v>613</v>
      </c>
      <c r="D41" s="122"/>
    </row>
    <row r="42" spans="1:4" ht="30.75" customHeight="1" x14ac:dyDescent="0.3">
      <c r="A42" s="8" t="s">
        <v>627</v>
      </c>
      <c r="B42" s="24" t="s">
        <v>599</v>
      </c>
      <c r="C42" s="121" t="s">
        <v>600</v>
      </c>
      <c r="D42" s="122"/>
    </row>
    <row r="43" spans="1:4" ht="30.75" customHeight="1" x14ac:dyDescent="0.3">
      <c r="A43" s="8" t="s">
        <v>628</v>
      </c>
      <c r="B43" s="24" t="s">
        <v>602</v>
      </c>
      <c r="C43" s="121" t="s">
        <v>603</v>
      </c>
      <c r="D43" s="122"/>
    </row>
    <row r="44" spans="1:4" ht="30.75" customHeight="1" x14ac:dyDescent="0.3">
      <c r="A44" s="8" t="s">
        <v>629</v>
      </c>
      <c r="B44" s="24" t="s">
        <v>602</v>
      </c>
      <c r="C44" s="121" t="s">
        <v>603</v>
      </c>
      <c r="D44" s="122"/>
    </row>
    <row r="45" spans="1:4" ht="30.75" customHeight="1" x14ac:dyDescent="0.3">
      <c r="A45" s="8" t="s">
        <v>630</v>
      </c>
      <c r="B45" s="24" t="s">
        <v>602</v>
      </c>
      <c r="C45" s="121" t="s">
        <v>631</v>
      </c>
      <c r="D45" s="122"/>
    </row>
  </sheetData>
  <mergeCells count="24">
    <mergeCell ref="C42:D42"/>
    <mergeCell ref="C43:D43"/>
    <mergeCell ref="C44:D44"/>
    <mergeCell ref="C45:D45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A1:D1"/>
    <mergeCell ref="A24:D24"/>
    <mergeCell ref="A11:D11"/>
    <mergeCell ref="C26:D26"/>
    <mergeCell ref="C25:D25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B2A4A"/>
    <pageSetUpPr fitToPage="1"/>
  </sheetPr>
  <dimension ref="A1:I54"/>
  <sheetViews>
    <sheetView topLeftCell="A9" workbookViewId="0">
      <selection activeCell="A27" sqref="A27:XFD27"/>
    </sheetView>
  </sheetViews>
  <sheetFormatPr defaultRowHeight="16.5" x14ac:dyDescent="0.3"/>
  <cols>
    <col min="1" max="1" width="4" customWidth="1"/>
    <col min="2" max="2" width="22" customWidth="1"/>
    <col min="3" max="8" width="14" customWidth="1"/>
    <col min="9" max="9" width="4" customWidth="1"/>
  </cols>
  <sheetData>
    <row r="1" spans="1:9" x14ac:dyDescent="0.3">
      <c r="A1" s="1"/>
      <c r="B1" s="102" t="s">
        <v>632</v>
      </c>
      <c r="C1" s="102"/>
      <c r="D1" s="102"/>
      <c r="E1" s="102"/>
      <c r="F1" s="102"/>
      <c r="G1" s="102"/>
      <c r="H1" s="102"/>
      <c r="I1" s="1"/>
    </row>
    <row r="2" spans="1:9" ht="16.5" customHeight="1" x14ac:dyDescent="0.3">
      <c r="A2" s="1"/>
      <c r="B2" s="102"/>
      <c r="C2" s="102"/>
      <c r="D2" s="102"/>
      <c r="E2" s="102"/>
      <c r="F2" s="102"/>
      <c r="G2" s="102"/>
      <c r="H2" s="102"/>
      <c r="I2" s="1"/>
    </row>
    <row r="3" spans="1:9" x14ac:dyDescent="0.3">
      <c r="A3" s="1"/>
      <c r="B3" s="102"/>
      <c r="C3" s="102"/>
      <c r="D3" s="102"/>
      <c r="E3" s="102"/>
      <c r="F3" s="102"/>
      <c r="G3" s="102"/>
      <c r="H3" s="102"/>
      <c r="I3" s="1"/>
    </row>
    <row r="4" spans="1:9" x14ac:dyDescent="0.3">
      <c r="A4" s="1"/>
      <c r="B4" s="77" t="s">
        <v>633</v>
      </c>
      <c r="C4" s="75"/>
      <c r="D4" s="75"/>
      <c r="E4" s="75"/>
      <c r="F4" s="75"/>
      <c r="G4" s="75"/>
      <c r="H4" s="75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7" spans="1:9" ht="20.25" x14ac:dyDescent="0.35">
      <c r="A7" s="100" t="s">
        <v>634</v>
      </c>
      <c r="B7" s="83"/>
      <c r="C7" s="83"/>
      <c r="D7" s="83"/>
      <c r="E7" s="83"/>
      <c r="F7" s="83"/>
      <c r="G7" s="83"/>
      <c r="H7" s="83"/>
    </row>
    <row r="8" spans="1:9" x14ac:dyDescent="0.3">
      <c r="A8" s="2"/>
      <c r="B8" s="2" t="s">
        <v>635</v>
      </c>
      <c r="C8" s="2" t="s">
        <v>636</v>
      </c>
      <c r="D8" s="2" t="s">
        <v>637</v>
      </c>
      <c r="E8" s="2" t="s">
        <v>638</v>
      </c>
      <c r="F8" s="2" t="s">
        <v>639</v>
      </c>
      <c r="G8" s="2" t="s">
        <v>640</v>
      </c>
      <c r="H8" s="2" t="s">
        <v>641</v>
      </c>
    </row>
    <row r="9" spans="1:9" x14ac:dyDescent="0.3">
      <c r="A9" s="8"/>
      <c r="B9" s="30" t="s">
        <v>642</v>
      </c>
      <c r="C9" s="8">
        <v>4</v>
      </c>
      <c r="D9" s="8">
        <v>4</v>
      </c>
      <c r="E9" s="8">
        <v>5</v>
      </c>
      <c r="F9" s="8">
        <v>4</v>
      </c>
      <c r="G9" s="8">
        <v>4</v>
      </c>
      <c r="H9" s="61" t="s">
        <v>643</v>
      </c>
    </row>
    <row r="10" spans="1:9" x14ac:dyDescent="0.3">
      <c r="A10" s="8"/>
      <c r="B10" s="30" t="s">
        <v>644</v>
      </c>
      <c r="C10" s="8">
        <v>5</v>
      </c>
      <c r="D10" s="8">
        <v>3</v>
      </c>
      <c r="E10" s="8">
        <v>4</v>
      </c>
      <c r="F10" s="8">
        <v>3</v>
      </c>
      <c r="G10" s="8">
        <v>3</v>
      </c>
      <c r="H10" s="62" t="s">
        <v>645</v>
      </c>
    </row>
    <row r="11" spans="1:9" x14ac:dyDescent="0.3">
      <c r="A11" s="8"/>
      <c r="B11" s="30" t="s">
        <v>646</v>
      </c>
      <c r="C11" s="8">
        <v>4</v>
      </c>
      <c r="D11" s="8">
        <v>4</v>
      </c>
      <c r="E11" s="8">
        <v>5</v>
      </c>
      <c r="F11" s="8">
        <v>4</v>
      </c>
      <c r="G11" s="8">
        <v>3</v>
      </c>
      <c r="H11" s="61" t="s">
        <v>647</v>
      </c>
    </row>
    <row r="12" spans="1:9" x14ac:dyDescent="0.3">
      <c r="A12" s="8"/>
      <c r="B12" s="30" t="s">
        <v>648</v>
      </c>
      <c r="C12" s="8">
        <v>4</v>
      </c>
      <c r="D12" s="8">
        <v>3</v>
      </c>
      <c r="E12" s="8">
        <v>4</v>
      </c>
      <c r="F12" s="8">
        <v>4</v>
      </c>
      <c r="G12" s="8">
        <v>4</v>
      </c>
      <c r="H12" s="62" t="s">
        <v>649</v>
      </c>
    </row>
    <row r="14" spans="1:9" x14ac:dyDescent="0.3">
      <c r="B14" s="103" t="s">
        <v>650</v>
      </c>
      <c r="C14" s="86"/>
      <c r="D14" s="86"/>
      <c r="E14" s="87"/>
      <c r="F14" s="104" t="s">
        <v>651</v>
      </c>
      <c r="G14" s="87"/>
    </row>
    <row r="16" spans="1:9" ht="21" thickBot="1" x14ac:dyDescent="0.4">
      <c r="A16" s="100" t="s">
        <v>652</v>
      </c>
      <c r="B16" s="83"/>
      <c r="C16" s="83"/>
      <c r="D16" s="83"/>
      <c r="E16" s="83"/>
      <c r="F16" s="83"/>
      <c r="G16" s="83"/>
      <c r="H16" s="83"/>
    </row>
    <row r="17" spans="1:8" ht="16.5" customHeight="1" x14ac:dyDescent="0.3">
      <c r="B17" s="136" t="s">
        <v>653</v>
      </c>
      <c r="C17" s="136"/>
      <c r="D17" s="136"/>
      <c r="E17" s="136"/>
      <c r="F17" s="136"/>
      <c r="G17" s="136"/>
      <c r="H17" s="136"/>
    </row>
    <row r="18" spans="1:8" ht="30.75" customHeight="1" x14ac:dyDescent="0.3">
      <c r="B18" s="135"/>
      <c r="C18" s="135"/>
      <c r="D18" s="135"/>
      <c r="E18" s="135"/>
      <c r="F18" s="135"/>
      <c r="G18" s="135"/>
      <c r="H18" s="135"/>
    </row>
    <row r="20" spans="1:8" ht="20.25" x14ac:dyDescent="0.35">
      <c r="A20" s="100" t="s">
        <v>654</v>
      </c>
      <c r="B20" s="83"/>
      <c r="C20" s="83"/>
      <c r="D20" s="83"/>
      <c r="E20" s="83"/>
      <c r="F20" s="83"/>
      <c r="G20" s="83"/>
      <c r="H20" s="83"/>
    </row>
    <row r="21" spans="1:8" x14ac:dyDescent="0.3">
      <c r="B21" s="99" t="s">
        <v>655</v>
      </c>
      <c r="C21" s="75"/>
      <c r="D21" s="75"/>
      <c r="E21" s="96" t="s">
        <v>656</v>
      </c>
      <c r="F21" s="75"/>
      <c r="G21" s="75"/>
      <c r="H21" s="75"/>
    </row>
    <row r="22" spans="1:8" x14ac:dyDescent="0.3">
      <c r="B22" s="92" t="s">
        <v>657</v>
      </c>
      <c r="C22" s="86"/>
      <c r="D22" s="87"/>
      <c r="E22" s="94" t="s">
        <v>658</v>
      </c>
      <c r="F22" s="86"/>
      <c r="G22" s="86"/>
      <c r="H22" s="87"/>
    </row>
    <row r="23" spans="1:8" x14ac:dyDescent="0.3">
      <c r="B23" s="92" t="s">
        <v>659</v>
      </c>
      <c r="C23" s="86"/>
      <c r="D23" s="87"/>
      <c r="E23" s="94" t="s">
        <v>660</v>
      </c>
      <c r="F23" s="86"/>
      <c r="G23" s="86"/>
      <c r="H23" s="87"/>
    </row>
    <row r="24" spans="1:8" x14ac:dyDescent="0.3">
      <c r="B24" s="92" t="s">
        <v>661</v>
      </c>
      <c r="C24" s="86"/>
      <c r="D24" s="87"/>
      <c r="E24" s="94" t="s">
        <v>662</v>
      </c>
      <c r="F24" s="86"/>
      <c r="G24" s="86"/>
      <c r="H24" s="87"/>
    </row>
    <row r="29" spans="1:8" ht="21" thickBot="1" x14ac:dyDescent="0.4">
      <c r="A29" s="100" t="s">
        <v>663</v>
      </c>
      <c r="B29" s="83"/>
      <c r="C29" s="83"/>
      <c r="D29" s="83"/>
      <c r="E29" s="83"/>
      <c r="F29" s="83"/>
      <c r="G29" s="83"/>
      <c r="H29" s="83"/>
    </row>
    <row r="30" spans="1:8" x14ac:dyDescent="0.3">
      <c r="A30" s="2"/>
      <c r="B30" s="2" t="s">
        <v>419</v>
      </c>
      <c r="C30" s="125" t="s">
        <v>664</v>
      </c>
      <c r="D30" s="126"/>
      <c r="E30" s="126"/>
      <c r="F30" s="127"/>
      <c r="G30" s="2" t="s">
        <v>224</v>
      </c>
      <c r="H30" s="2" t="s">
        <v>665</v>
      </c>
    </row>
    <row r="31" spans="1:8" ht="15.75" customHeight="1" x14ac:dyDescent="0.3">
      <c r="A31" s="101" t="s">
        <v>666</v>
      </c>
      <c r="B31" s="86"/>
      <c r="C31" s="86"/>
      <c r="D31" s="86"/>
      <c r="E31" s="86"/>
      <c r="F31" s="86"/>
      <c r="G31" s="86"/>
      <c r="H31" s="87"/>
    </row>
    <row r="32" spans="1:8" ht="15.75" customHeight="1" x14ac:dyDescent="0.3">
      <c r="A32" s="8"/>
      <c r="B32" s="30" t="s">
        <v>667</v>
      </c>
      <c r="C32" s="128" t="s">
        <v>668</v>
      </c>
      <c r="D32" s="129"/>
      <c r="E32" s="129"/>
      <c r="F32" s="130"/>
      <c r="G32" s="34" t="s">
        <v>669</v>
      </c>
      <c r="H32" s="34" t="s">
        <v>670</v>
      </c>
    </row>
    <row r="33" spans="1:8" ht="15.75" customHeight="1" x14ac:dyDescent="0.3">
      <c r="A33" s="8"/>
      <c r="B33" s="30" t="s">
        <v>671</v>
      </c>
      <c r="C33" s="121" t="s">
        <v>672</v>
      </c>
      <c r="D33" s="122"/>
      <c r="E33" s="122"/>
      <c r="F33" s="131"/>
      <c r="G33" s="34" t="s">
        <v>669</v>
      </c>
      <c r="H33" s="34" t="s">
        <v>670</v>
      </c>
    </row>
    <row r="34" spans="1:8" ht="15.75" customHeight="1" x14ac:dyDescent="0.3">
      <c r="A34" s="8"/>
      <c r="B34" s="30" t="s">
        <v>673</v>
      </c>
      <c r="C34" s="121" t="s">
        <v>674</v>
      </c>
      <c r="D34" s="122"/>
      <c r="E34" s="122"/>
      <c r="F34" s="131"/>
      <c r="G34" s="34" t="s">
        <v>669</v>
      </c>
      <c r="H34" s="34" t="s">
        <v>675</v>
      </c>
    </row>
    <row r="35" spans="1:8" ht="15.75" customHeight="1" x14ac:dyDescent="0.3">
      <c r="A35" s="8"/>
      <c r="B35" s="30" t="s">
        <v>676</v>
      </c>
      <c r="C35" s="121" t="s">
        <v>677</v>
      </c>
      <c r="D35" s="122"/>
      <c r="E35" s="122"/>
      <c r="F35" s="131"/>
      <c r="G35" s="34" t="s">
        <v>678</v>
      </c>
      <c r="H35" s="34" t="s">
        <v>670</v>
      </c>
    </row>
    <row r="36" spans="1:8" ht="15.75" customHeight="1" x14ac:dyDescent="0.3">
      <c r="A36" s="8"/>
      <c r="B36" s="30" t="s">
        <v>679</v>
      </c>
      <c r="C36" s="132" t="s">
        <v>680</v>
      </c>
      <c r="D36" s="133"/>
      <c r="E36" s="133"/>
      <c r="F36" s="134"/>
      <c r="G36" s="34" t="s">
        <v>669</v>
      </c>
      <c r="H36" s="34" t="s">
        <v>670</v>
      </c>
    </row>
    <row r="37" spans="1:8" ht="15.75" customHeight="1" x14ac:dyDescent="0.3">
      <c r="A37" s="101" t="s">
        <v>681</v>
      </c>
      <c r="B37" s="86"/>
      <c r="C37" s="86"/>
      <c r="D37" s="86"/>
      <c r="E37" s="86"/>
      <c r="F37" s="86"/>
      <c r="G37" s="86"/>
      <c r="H37" s="87"/>
    </row>
    <row r="38" spans="1:8" ht="15.75" customHeight="1" x14ac:dyDescent="0.3">
      <c r="A38" s="8"/>
      <c r="B38" s="30" t="s">
        <v>682</v>
      </c>
      <c r="C38" s="128" t="s">
        <v>683</v>
      </c>
      <c r="D38" s="129"/>
      <c r="E38" s="129"/>
      <c r="F38" s="130"/>
      <c r="G38" s="34" t="s">
        <v>684</v>
      </c>
      <c r="H38" s="34" t="s">
        <v>675</v>
      </c>
    </row>
    <row r="39" spans="1:8" ht="15.75" customHeight="1" x14ac:dyDescent="0.3">
      <c r="A39" s="8"/>
      <c r="B39" s="30" t="s">
        <v>685</v>
      </c>
      <c r="C39" s="121" t="s">
        <v>686</v>
      </c>
      <c r="D39" s="122"/>
      <c r="E39" s="122"/>
      <c r="F39" s="131"/>
      <c r="G39" s="8" t="s">
        <v>678</v>
      </c>
      <c r="H39" s="8" t="s">
        <v>687</v>
      </c>
    </row>
    <row r="40" spans="1:8" ht="15.75" customHeight="1" x14ac:dyDescent="0.3">
      <c r="A40" s="8"/>
      <c r="B40" s="30" t="s">
        <v>688</v>
      </c>
      <c r="C40" s="121" t="s">
        <v>689</v>
      </c>
      <c r="D40" s="122"/>
      <c r="E40" s="122"/>
      <c r="F40" s="131"/>
      <c r="G40" s="34" t="s">
        <v>678</v>
      </c>
      <c r="H40" s="34" t="s">
        <v>670</v>
      </c>
    </row>
    <row r="41" spans="1:8" ht="15.75" customHeight="1" x14ac:dyDescent="0.3">
      <c r="A41" s="8"/>
      <c r="B41" s="30" t="s">
        <v>690</v>
      </c>
      <c r="C41" s="121" t="s">
        <v>691</v>
      </c>
      <c r="D41" s="122"/>
      <c r="E41" s="122"/>
      <c r="F41" s="131"/>
      <c r="G41" s="8" t="s">
        <v>678</v>
      </c>
      <c r="H41" s="8" t="s">
        <v>687</v>
      </c>
    </row>
    <row r="42" spans="1:8" ht="15.75" customHeight="1" x14ac:dyDescent="0.3">
      <c r="A42" s="8"/>
      <c r="B42" s="30" t="s">
        <v>692</v>
      </c>
      <c r="C42" s="132" t="s">
        <v>693</v>
      </c>
      <c r="D42" s="133"/>
      <c r="E42" s="133"/>
      <c r="F42" s="134"/>
      <c r="G42" s="8" t="s">
        <v>678</v>
      </c>
      <c r="H42" s="8" t="s">
        <v>687</v>
      </c>
    </row>
    <row r="43" spans="1:8" ht="15.75" customHeight="1" x14ac:dyDescent="0.3">
      <c r="A43" s="101" t="s">
        <v>694</v>
      </c>
      <c r="B43" s="86"/>
      <c r="C43" s="86"/>
      <c r="D43" s="86"/>
      <c r="E43" s="86"/>
      <c r="F43" s="86"/>
      <c r="G43" s="86"/>
      <c r="H43" s="87"/>
    </row>
    <row r="44" spans="1:8" ht="15.75" customHeight="1" x14ac:dyDescent="0.3">
      <c r="A44" s="8"/>
      <c r="B44" s="30" t="s">
        <v>695</v>
      </c>
      <c r="C44" s="128" t="s">
        <v>696</v>
      </c>
      <c r="D44" s="129"/>
      <c r="E44" s="129"/>
      <c r="F44" s="130"/>
      <c r="G44" s="34" t="s">
        <v>268</v>
      </c>
      <c r="H44" s="34" t="s">
        <v>670</v>
      </c>
    </row>
    <row r="45" spans="1:8" ht="15.75" customHeight="1" x14ac:dyDescent="0.3">
      <c r="A45" s="8"/>
      <c r="B45" s="30" t="s">
        <v>697</v>
      </c>
      <c r="C45" s="121" t="s">
        <v>698</v>
      </c>
      <c r="D45" s="122"/>
      <c r="E45" s="122"/>
      <c r="F45" s="131"/>
      <c r="G45" s="34" t="s">
        <v>268</v>
      </c>
      <c r="H45" s="34" t="s">
        <v>670</v>
      </c>
    </row>
    <row r="46" spans="1:8" ht="15.75" customHeight="1" x14ac:dyDescent="0.3">
      <c r="A46" s="8"/>
      <c r="B46" s="30" t="s">
        <v>699</v>
      </c>
      <c r="C46" s="121" t="s">
        <v>700</v>
      </c>
      <c r="D46" s="122"/>
      <c r="E46" s="122"/>
      <c r="F46" s="131"/>
      <c r="G46" s="34" t="s">
        <v>701</v>
      </c>
      <c r="H46" s="34" t="s">
        <v>675</v>
      </c>
    </row>
    <row r="47" spans="1:8" ht="15.75" customHeight="1" x14ac:dyDescent="0.3">
      <c r="A47" s="8"/>
      <c r="B47" s="30" t="s">
        <v>702</v>
      </c>
      <c r="C47" s="121" t="s">
        <v>703</v>
      </c>
      <c r="D47" s="122"/>
      <c r="E47" s="122"/>
      <c r="F47" s="131"/>
      <c r="G47" s="34" t="s">
        <v>268</v>
      </c>
      <c r="H47" s="34" t="s">
        <v>670</v>
      </c>
    </row>
    <row r="48" spans="1:8" ht="15.75" customHeight="1" x14ac:dyDescent="0.3">
      <c r="A48" s="8"/>
      <c r="B48" s="30" t="s">
        <v>704</v>
      </c>
      <c r="C48" s="132" t="s">
        <v>705</v>
      </c>
      <c r="D48" s="133"/>
      <c r="E48" s="133"/>
      <c r="F48" s="134"/>
      <c r="G48" s="8" t="s">
        <v>678</v>
      </c>
      <c r="H48" s="8" t="s">
        <v>687</v>
      </c>
    </row>
    <row r="49" spans="1:8" ht="15.75" customHeight="1" x14ac:dyDescent="0.3">
      <c r="A49" s="101" t="s">
        <v>706</v>
      </c>
      <c r="B49" s="86"/>
      <c r="C49" s="86"/>
      <c r="D49" s="86"/>
      <c r="E49" s="86"/>
      <c r="F49" s="86"/>
      <c r="G49" s="86"/>
      <c r="H49" s="87"/>
    </row>
    <row r="50" spans="1:8" ht="15.75" customHeight="1" x14ac:dyDescent="0.3">
      <c r="A50" s="8"/>
      <c r="B50" s="30" t="s">
        <v>707</v>
      </c>
      <c r="C50" s="128" t="s">
        <v>708</v>
      </c>
      <c r="D50" s="129"/>
      <c r="E50" s="129"/>
      <c r="F50" s="130"/>
      <c r="G50" s="34" t="s">
        <v>229</v>
      </c>
      <c r="H50" s="34" t="s">
        <v>670</v>
      </c>
    </row>
    <row r="51" spans="1:8" ht="15.75" customHeight="1" x14ac:dyDescent="0.3">
      <c r="A51" s="8"/>
      <c r="B51" s="30" t="s">
        <v>709</v>
      </c>
      <c r="C51" s="121" t="s">
        <v>710</v>
      </c>
      <c r="D51" s="122"/>
      <c r="E51" s="122"/>
      <c r="F51" s="131"/>
      <c r="G51" s="8" t="s">
        <v>244</v>
      </c>
      <c r="H51" s="8" t="s">
        <v>687</v>
      </c>
    </row>
    <row r="52" spans="1:8" ht="15.75" customHeight="1" x14ac:dyDescent="0.3">
      <c r="A52" s="8"/>
      <c r="B52" s="30" t="s">
        <v>270</v>
      </c>
      <c r="C52" s="121" t="s">
        <v>711</v>
      </c>
      <c r="D52" s="122"/>
      <c r="E52" s="122"/>
      <c r="F52" s="131"/>
      <c r="G52" s="34" t="s">
        <v>268</v>
      </c>
      <c r="H52" s="34" t="s">
        <v>670</v>
      </c>
    </row>
    <row r="53" spans="1:8" ht="15.75" customHeight="1" x14ac:dyDescent="0.3">
      <c r="A53" s="8"/>
      <c r="B53" s="30" t="s">
        <v>250</v>
      </c>
      <c r="C53" s="121" t="s">
        <v>712</v>
      </c>
      <c r="D53" s="122"/>
      <c r="E53" s="122"/>
      <c r="F53" s="131"/>
      <c r="G53" s="34" t="s">
        <v>229</v>
      </c>
      <c r="H53" s="34" t="s">
        <v>670</v>
      </c>
    </row>
    <row r="54" spans="1:8" ht="15.75" customHeight="1" x14ac:dyDescent="0.3">
      <c r="A54" s="8"/>
      <c r="B54" s="30" t="s">
        <v>713</v>
      </c>
      <c r="C54" s="121" t="s">
        <v>714</v>
      </c>
      <c r="D54" s="122"/>
      <c r="E54" s="122"/>
      <c r="F54" s="131"/>
      <c r="G54" s="34" t="s">
        <v>268</v>
      </c>
      <c r="H54" s="34" t="s">
        <v>670</v>
      </c>
    </row>
  </sheetData>
  <mergeCells count="42">
    <mergeCell ref="C50:F50"/>
    <mergeCell ref="C51:F51"/>
    <mergeCell ref="C52:F52"/>
    <mergeCell ref="C53:F53"/>
    <mergeCell ref="C54:F54"/>
    <mergeCell ref="B14:E14"/>
    <mergeCell ref="A37:H37"/>
    <mergeCell ref="A20:H20"/>
    <mergeCell ref="B22:D22"/>
    <mergeCell ref="A31:H31"/>
    <mergeCell ref="F14:G14"/>
    <mergeCell ref="B21:D21"/>
    <mergeCell ref="B1:H3"/>
    <mergeCell ref="C30:F30"/>
    <mergeCell ref="C32:F32"/>
    <mergeCell ref="C33:F33"/>
    <mergeCell ref="C34:F34"/>
    <mergeCell ref="C35:F35"/>
    <mergeCell ref="C36:F36"/>
    <mergeCell ref="A49:H49"/>
    <mergeCell ref="E24:H24"/>
    <mergeCell ref="B24:D24"/>
    <mergeCell ref="A29:H29"/>
    <mergeCell ref="E23:H23"/>
    <mergeCell ref="A43:H43"/>
    <mergeCell ref="C38:F38"/>
    <mergeCell ref="C40:F40"/>
    <mergeCell ref="C39:F39"/>
    <mergeCell ref="C41:F41"/>
    <mergeCell ref="C42:F42"/>
    <mergeCell ref="C44:F44"/>
    <mergeCell ref="C45:F45"/>
    <mergeCell ref="C46:F46"/>
    <mergeCell ref="C47:F47"/>
    <mergeCell ref="C48:F48"/>
    <mergeCell ref="B23:D23"/>
    <mergeCell ref="B17:H18"/>
    <mergeCell ref="E22:H22"/>
    <mergeCell ref="A7:H7"/>
    <mergeCell ref="B4:H4"/>
    <mergeCell ref="A16:H16"/>
    <mergeCell ref="E21:H21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C3E6B"/>
    <pageSetUpPr fitToPage="1"/>
  </sheetPr>
  <dimension ref="A1:H45"/>
  <sheetViews>
    <sheetView topLeftCell="A24" workbookViewId="0">
      <selection activeCell="B32" sqref="B32:F32"/>
    </sheetView>
  </sheetViews>
  <sheetFormatPr defaultRowHeight="16.5" x14ac:dyDescent="0.3"/>
  <cols>
    <col min="1" max="1" width="20" customWidth="1"/>
    <col min="2" max="8" width="16" customWidth="1"/>
  </cols>
  <sheetData>
    <row r="1" spans="1:8" ht="20.25" x14ac:dyDescent="0.35">
      <c r="A1" s="100" t="s">
        <v>715</v>
      </c>
      <c r="B1" s="83"/>
      <c r="C1" s="83"/>
      <c r="D1" s="83"/>
      <c r="E1" s="83"/>
      <c r="F1" s="83"/>
      <c r="G1" s="83"/>
      <c r="H1" s="83"/>
    </row>
    <row r="2" spans="1:8" ht="21" thickBot="1" x14ac:dyDescent="0.4">
      <c r="A2" s="100" t="s">
        <v>716</v>
      </c>
      <c r="B2" s="83"/>
      <c r="C2" s="83"/>
      <c r="D2" s="83"/>
      <c r="E2" s="83"/>
      <c r="F2" s="83"/>
      <c r="G2" s="83"/>
      <c r="H2" s="83"/>
    </row>
    <row r="3" spans="1:8" ht="15.75" customHeight="1" x14ac:dyDescent="0.3">
      <c r="A3" s="2" t="s">
        <v>717</v>
      </c>
      <c r="B3" s="2" t="s">
        <v>718</v>
      </c>
      <c r="C3" s="2" t="s">
        <v>719</v>
      </c>
      <c r="D3" s="123" t="s">
        <v>720</v>
      </c>
      <c r="E3" s="124"/>
      <c r="F3" s="124"/>
      <c r="G3" s="137"/>
      <c r="H3" s="2" t="s">
        <v>721</v>
      </c>
    </row>
    <row r="4" spans="1:8" ht="15.75" customHeight="1" x14ac:dyDescent="0.3">
      <c r="A4" s="30" t="s">
        <v>685</v>
      </c>
      <c r="B4" s="34" t="s">
        <v>722</v>
      </c>
      <c r="C4" s="34" t="s">
        <v>678</v>
      </c>
      <c r="D4" s="121" t="s">
        <v>723</v>
      </c>
      <c r="E4" s="122"/>
      <c r="F4" s="122"/>
      <c r="G4" s="131"/>
      <c r="H4" s="8" t="s">
        <v>724</v>
      </c>
    </row>
    <row r="5" spans="1:8" ht="15.75" customHeight="1" x14ac:dyDescent="0.3">
      <c r="A5" s="30" t="s">
        <v>682</v>
      </c>
      <c r="B5" s="34" t="s">
        <v>722</v>
      </c>
      <c r="C5" s="34" t="s">
        <v>684</v>
      </c>
      <c r="D5" s="121" t="s">
        <v>725</v>
      </c>
      <c r="E5" s="122"/>
      <c r="F5" s="122"/>
      <c r="G5" s="131"/>
      <c r="H5" s="8" t="s">
        <v>726</v>
      </c>
    </row>
    <row r="6" spans="1:8" ht="15.75" customHeight="1" x14ac:dyDescent="0.3">
      <c r="A6" s="30" t="s">
        <v>727</v>
      </c>
      <c r="B6" s="44" t="s">
        <v>728</v>
      </c>
      <c r="C6" s="44" t="s">
        <v>729</v>
      </c>
      <c r="D6" s="121" t="s">
        <v>730</v>
      </c>
      <c r="E6" s="122"/>
      <c r="F6" s="122"/>
      <c r="G6" s="131"/>
      <c r="H6" s="8" t="s">
        <v>91</v>
      </c>
    </row>
    <row r="7" spans="1:8" ht="15.75" customHeight="1" x14ac:dyDescent="0.3">
      <c r="A7" s="30" t="s">
        <v>688</v>
      </c>
      <c r="B7" s="34" t="s">
        <v>722</v>
      </c>
      <c r="C7" s="34" t="s">
        <v>678</v>
      </c>
      <c r="D7" s="121" t="s">
        <v>731</v>
      </c>
      <c r="E7" s="122"/>
      <c r="F7" s="122"/>
      <c r="G7" s="131"/>
      <c r="H7" s="8" t="s">
        <v>724</v>
      </c>
    </row>
    <row r="8" spans="1:8" ht="15.75" customHeight="1" x14ac:dyDescent="0.3">
      <c r="A8" s="30" t="s">
        <v>690</v>
      </c>
      <c r="B8" s="9" t="s">
        <v>732</v>
      </c>
      <c r="C8" s="9" t="s">
        <v>678</v>
      </c>
      <c r="D8" s="121" t="s">
        <v>733</v>
      </c>
      <c r="E8" s="122"/>
      <c r="F8" s="122"/>
      <c r="G8" s="131"/>
      <c r="H8" s="8" t="s">
        <v>734</v>
      </c>
    </row>
    <row r="10" spans="1:8" ht="20.25" x14ac:dyDescent="0.35">
      <c r="A10" s="100" t="s">
        <v>735</v>
      </c>
      <c r="B10" s="83"/>
      <c r="C10" s="83"/>
      <c r="D10" s="83"/>
      <c r="E10" s="83"/>
      <c r="F10" s="83"/>
      <c r="G10" s="83"/>
      <c r="H10" s="83"/>
    </row>
    <row r="11" spans="1:8" x14ac:dyDescent="0.3">
      <c r="A11" s="2" t="s">
        <v>20</v>
      </c>
      <c r="B11" s="2" t="s">
        <v>736</v>
      </c>
      <c r="C11" s="2" t="s">
        <v>737</v>
      </c>
      <c r="D11" s="2" t="s">
        <v>738</v>
      </c>
      <c r="E11" s="2" t="s">
        <v>739</v>
      </c>
      <c r="F11" s="2" t="s">
        <v>306</v>
      </c>
      <c r="G11" s="2" t="s">
        <v>740</v>
      </c>
      <c r="H11" s="2" t="s">
        <v>88</v>
      </c>
    </row>
    <row r="12" spans="1:8" x14ac:dyDescent="0.3">
      <c r="A12" s="3" t="s">
        <v>36</v>
      </c>
      <c r="B12" s="4">
        <v>13113</v>
      </c>
      <c r="C12" s="4">
        <v>1278</v>
      </c>
      <c r="D12" s="8" t="s">
        <v>741</v>
      </c>
      <c r="E12" s="4">
        <v>591</v>
      </c>
      <c r="F12" s="8" t="s">
        <v>742</v>
      </c>
      <c r="G12" s="8" t="s">
        <v>743</v>
      </c>
      <c r="H12" s="25"/>
    </row>
    <row r="13" spans="1:8" x14ac:dyDescent="0.3">
      <c r="A13" s="3" t="s">
        <v>37</v>
      </c>
      <c r="B13" s="4">
        <v>10092</v>
      </c>
      <c r="C13" s="4">
        <v>886</v>
      </c>
      <c r="D13" s="8" t="s">
        <v>380</v>
      </c>
      <c r="E13" s="4">
        <v>238</v>
      </c>
      <c r="F13" s="16" t="s">
        <v>744</v>
      </c>
      <c r="G13" s="8" t="s">
        <v>322</v>
      </c>
      <c r="H13" s="25"/>
    </row>
    <row r="14" spans="1:8" x14ac:dyDescent="0.3">
      <c r="A14" s="3" t="s">
        <v>38</v>
      </c>
      <c r="B14" s="4">
        <v>11086</v>
      </c>
      <c r="C14" s="4">
        <v>746</v>
      </c>
      <c r="D14" s="16" t="s">
        <v>745</v>
      </c>
      <c r="E14" s="4">
        <v>107</v>
      </c>
      <c r="F14" s="16" t="s">
        <v>746</v>
      </c>
      <c r="G14" s="8" t="s">
        <v>747</v>
      </c>
      <c r="H14" s="25"/>
    </row>
    <row r="15" spans="1:8" x14ac:dyDescent="0.3">
      <c r="A15" s="3" t="s">
        <v>39</v>
      </c>
      <c r="B15" s="4">
        <v>9324</v>
      </c>
      <c r="C15" s="4">
        <v>776</v>
      </c>
      <c r="D15" s="8" t="s">
        <v>748</v>
      </c>
      <c r="E15" s="4">
        <v>182</v>
      </c>
      <c r="F15" s="16" t="s">
        <v>749</v>
      </c>
      <c r="G15" s="8" t="s">
        <v>750</v>
      </c>
      <c r="H15" s="25" t="s">
        <v>751</v>
      </c>
    </row>
    <row r="16" spans="1:8" x14ac:dyDescent="0.3">
      <c r="A16" s="3" t="s">
        <v>40</v>
      </c>
      <c r="B16" s="4">
        <v>10570</v>
      </c>
      <c r="C16" s="4">
        <v>1138</v>
      </c>
      <c r="D16" s="8" t="s">
        <v>752</v>
      </c>
      <c r="E16" s="4">
        <v>443</v>
      </c>
      <c r="F16" s="8" t="s">
        <v>753</v>
      </c>
      <c r="G16" s="8" t="s">
        <v>754</v>
      </c>
      <c r="H16" s="25" t="s">
        <v>755</v>
      </c>
    </row>
    <row r="18" spans="1:8" ht="20.25" x14ac:dyDescent="0.35">
      <c r="A18" s="100" t="s">
        <v>756</v>
      </c>
      <c r="B18" s="83"/>
      <c r="C18" s="83"/>
      <c r="D18" s="83"/>
      <c r="E18" s="83"/>
      <c r="F18" s="83"/>
      <c r="G18" s="83"/>
      <c r="H18" s="83"/>
    </row>
    <row r="19" spans="1:8" x14ac:dyDescent="0.3">
      <c r="A19" s="2" t="s">
        <v>20</v>
      </c>
      <c r="B19" s="2" t="s">
        <v>142</v>
      </c>
      <c r="C19" s="2" t="s">
        <v>143</v>
      </c>
      <c r="D19" s="2" t="s">
        <v>88</v>
      </c>
      <c r="E19" s="2"/>
      <c r="F19" s="2"/>
      <c r="G19" s="2"/>
      <c r="H19" s="2"/>
    </row>
    <row r="20" spans="1:8" x14ac:dyDescent="0.3">
      <c r="A20" s="3" t="s">
        <v>38</v>
      </c>
      <c r="B20" s="21">
        <v>397</v>
      </c>
      <c r="C20" s="8" t="s">
        <v>144</v>
      </c>
      <c r="D20" s="25"/>
      <c r="E20" s="8"/>
      <c r="F20" s="8"/>
      <c r="G20" s="8"/>
      <c r="H20" s="8"/>
    </row>
    <row r="21" spans="1:8" x14ac:dyDescent="0.3">
      <c r="A21" s="3" t="s">
        <v>39</v>
      </c>
      <c r="B21" s="21">
        <v>356</v>
      </c>
      <c r="C21" s="8" t="s">
        <v>145</v>
      </c>
      <c r="D21" s="25"/>
      <c r="E21" s="8"/>
      <c r="F21" s="8"/>
      <c r="G21" s="8"/>
      <c r="H21" s="8"/>
    </row>
    <row r="22" spans="1:8" x14ac:dyDescent="0.3">
      <c r="A22" s="3" t="s">
        <v>40</v>
      </c>
      <c r="B22" s="21">
        <v>327</v>
      </c>
      <c r="C22" s="8" t="s">
        <v>146</v>
      </c>
      <c r="D22" s="25" t="s">
        <v>757</v>
      </c>
      <c r="E22" s="8"/>
      <c r="F22" s="8"/>
      <c r="G22" s="8"/>
      <c r="H22" s="8"/>
    </row>
    <row r="24" spans="1:8" x14ac:dyDescent="0.3">
      <c r="A24" s="105" t="s">
        <v>758</v>
      </c>
      <c r="B24" s="86"/>
      <c r="C24" s="86"/>
      <c r="D24" s="86"/>
      <c r="E24" s="86"/>
      <c r="F24" s="86"/>
      <c r="G24" s="86"/>
      <c r="H24" s="87"/>
    </row>
    <row r="25" spans="1:8" x14ac:dyDescent="0.3">
      <c r="A25" s="2" t="s">
        <v>149</v>
      </c>
      <c r="B25" s="138" t="s">
        <v>150</v>
      </c>
      <c r="C25" s="139"/>
      <c r="D25" s="139"/>
      <c r="E25" s="139"/>
      <c r="F25" s="140"/>
      <c r="G25" s="2" t="s">
        <v>151</v>
      </c>
      <c r="H25" s="2" t="s">
        <v>152</v>
      </c>
    </row>
    <row r="26" spans="1:8" ht="18.75" customHeight="1" x14ac:dyDescent="0.3">
      <c r="A26" s="141" t="s">
        <v>153</v>
      </c>
      <c r="B26" s="143" t="s">
        <v>759</v>
      </c>
      <c r="C26" s="143"/>
      <c r="D26" s="143"/>
      <c r="E26" s="143"/>
      <c r="F26" s="143"/>
      <c r="G26" s="142" t="s">
        <v>155</v>
      </c>
      <c r="H26" s="25"/>
    </row>
    <row r="27" spans="1:8" ht="18.75" customHeight="1" x14ac:dyDescent="0.3">
      <c r="A27" s="141" t="s">
        <v>156</v>
      </c>
      <c r="B27" s="143" t="s">
        <v>759</v>
      </c>
      <c r="C27" s="143"/>
      <c r="D27" s="143"/>
      <c r="E27" s="143"/>
      <c r="F27" s="143"/>
      <c r="G27" s="142" t="s">
        <v>155</v>
      </c>
      <c r="H27" s="25"/>
    </row>
    <row r="28" spans="1:8" ht="18.75" customHeight="1" x14ac:dyDescent="0.3">
      <c r="A28" s="141" t="s">
        <v>158</v>
      </c>
      <c r="B28" s="143" t="s">
        <v>760</v>
      </c>
      <c r="C28" s="143"/>
      <c r="D28" s="143"/>
      <c r="E28" s="143"/>
      <c r="F28" s="143"/>
      <c r="G28" s="142" t="s">
        <v>160</v>
      </c>
      <c r="H28" s="25"/>
    </row>
    <row r="29" spans="1:8" ht="18.75" customHeight="1" x14ac:dyDescent="0.3">
      <c r="A29" s="141" t="s">
        <v>161</v>
      </c>
      <c r="B29" s="143" t="s">
        <v>761</v>
      </c>
      <c r="C29" s="143"/>
      <c r="D29" s="143"/>
      <c r="E29" s="143"/>
      <c r="F29" s="143"/>
      <c r="G29" s="142" t="s">
        <v>155</v>
      </c>
      <c r="H29" s="25"/>
    </row>
    <row r="30" spans="1:8" ht="18.75" customHeight="1" x14ac:dyDescent="0.3">
      <c r="A30" s="141" t="s">
        <v>163</v>
      </c>
      <c r="B30" s="143" t="s">
        <v>762</v>
      </c>
      <c r="C30" s="143"/>
      <c r="D30" s="143"/>
      <c r="E30" s="143"/>
      <c r="F30" s="143"/>
      <c r="G30" s="142" t="s">
        <v>155</v>
      </c>
      <c r="H30" s="25"/>
    </row>
    <row r="31" spans="1:8" ht="18.75" customHeight="1" x14ac:dyDescent="0.3">
      <c r="A31" s="141" t="s">
        <v>165</v>
      </c>
      <c r="B31" s="143" t="s">
        <v>763</v>
      </c>
      <c r="C31" s="143"/>
      <c r="D31" s="143"/>
      <c r="E31" s="143"/>
      <c r="F31" s="143"/>
      <c r="G31" s="142" t="s">
        <v>160</v>
      </c>
      <c r="H31" s="25"/>
    </row>
    <row r="32" spans="1:8" ht="18.75" customHeight="1" x14ac:dyDescent="0.3">
      <c r="A32" s="141" t="s">
        <v>167</v>
      </c>
      <c r="B32" s="143" t="s">
        <v>764</v>
      </c>
      <c r="C32" s="143"/>
      <c r="D32" s="143"/>
      <c r="E32" s="143"/>
      <c r="F32" s="143"/>
      <c r="G32" s="142" t="s">
        <v>169</v>
      </c>
      <c r="H32" s="25"/>
    </row>
    <row r="33" spans="1:8" ht="18.75" customHeight="1" x14ac:dyDescent="0.3">
      <c r="A33" s="141" t="s">
        <v>170</v>
      </c>
      <c r="B33" s="143" t="s">
        <v>765</v>
      </c>
      <c r="C33" s="143"/>
      <c r="D33" s="143"/>
      <c r="E33" s="143"/>
      <c r="F33" s="143"/>
      <c r="G33" s="142" t="s">
        <v>160</v>
      </c>
      <c r="H33" s="25"/>
    </row>
    <row r="34" spans="1:8" ht="18.75" customHeight="1" x14ac:dyDescent="0.3">
      <c r="A34" s="141" t="s">
        <v>172</v>
      </c>
      <c r="B34" s="143" t="s">
        <v>766</v>
      </c>
      <c r="C34" s="143"/>
      <c r="D34" s="143"/>
      <c r="E34" s="143"/>
      <c r="F34" s="143"/>
      <c r="G34" s="142" t="s">
        <v>68</v>
      </c>
      <c r="H34" s="25"/>
    </row>
    <row r="35" spans="1:8" ht="18.75" customHeight="1" x14ac:dyDescent="0.3">
      <c r="A35" s="141" t="s">
        <v>174</v>
      </c>
      <c r="B35" s="143" t="s">
        <v>767</v>
      </c>
      <c r="C35" s="143"/>
      <c r="D35" s="143"/>
      <c r="E35" s="143"/>
      <c r="F35" s="143"/>
      <c r="G35" s="142" t="s">
        <v>155</v>
      </c>
      <c r="H35" s="25"/>
    </row>
    <row r="36" spans="1:8" ht="18.75" customHeight="1" x14ac:dyDescent="0.3">
      <c r="A36" s="141" t="s">
        <v>176</v>
      </c>
      <c r="B36" s="143" t="s">
        <v>768</v>
      </c>
      <c r="C36" s="143"/>
      <c r="D36" s="143"/>
      <c r="E36" s="143"/>
      <c r="F36" s="143"/>
      <c r="G36" s="142" t="s">
        <v>160</v>
      </c>
      <c r="H36" s="25"/>
    </row>
    <row r="37" spans="1:8" ht="18.75" customHeight="1" x14ac:dyDescent="0.3">
      <c r="A37" s="141" t="s">
        <v>178</v>
      </c>
      <c r="B37" s="143" t="s">
        <v>769</v>
      </c>
      <c r="C37" s="143"/>
      <c r="D37" s="143"/>
      <c r="E37" s="143"/>
      <c r="F37" s="143"/>
      <c r="G37" s="142" t="s">
        <v>68</v>
      </c>
      <c r="H37" s="25"/>
    </row>
    <row r="38" spans="1:8" x14ac:dyDescent="0.3">
      <c r="A38" s="106" t="s">
        <v>770</v>
      </c>
      <c r="B38" s="75"/>
      <c r="C38" s="75"/>
      <c r="D38" s="75"/>
      <c r="E38" s="75"/>
      <c r="F38" s="75"/>
      <c r="G38" s="75"/>
      <c r="H38" s="75"/>
    </row>
    <row r="40" spans="1:8" ht="20.25" x14ac:dyDescent="0.35">
      <c r="A40" s="100" t="s">
        <v>771</v>
      </c>
      <c r="B40" s="83"/>
      <c r="C40" s="83"/>
      <c r="D40" s="83"/>
      <c r="E40" s="83"/>
      <c r="F40" s="83"/>
      <c r="G40" s="83"/>
      <c r="H40" s="83"/>
    </row>
    <row r="41" spans="1:8" x14ac:dyDescent="0.3">
      <c r="A41" s="30" t="s">
        <v>772</v>
      </c>
      <c r="B41" s="85" t="s">
        <v>773</v>
      </c>
      <c r="C41" s="86"/>
      <c r="D41" s="86"/>
      <c r="E41" s="86"/>
      <c r="F41" s="86"/>
      <c r="G41" s="86"/>
      <c r="H41" s="87"/>
    </row>
    <row r="42" spans="1:8" x14ac:dyDescent="0.3">
      <c r="A42" s="30" t="s">
        <v>774</v>
      </c>
      <c r="B42" s="85" t="s">
        <v>775</v>
      </c>
      <c r="C42" s="86"/>
      <c r="D42" s="86"/>
      <c r="E42" s="86"/>
      <c r="F42" s="86"/>
      <c r="G42" s="86"/>
      <c r="H42" s="87"/>
    </row>
    <row r="43" spans="1:8" x14ac:dyDescent="0.3">
      <c r="A43" s="30" t="s">
        <v>776</v>
      </c>
      <c r="B43" s="85" t="s">
        <v>777</v>
      </c>
      <c r="C43" s="86"/>
      <c r="D43" s="86"/>
      <c r="E43" s="86"/>
      <c r="F43" s="86"/>
      <c r="G43" s="86"/>
      <c r="H43" s="87"/>
    </row>
    <row r="44" spans="1:8" x14ac:dyDescent="0.3">
      <c r="A44" s="30" t="s">
        <v>778</v>
      </c>
      <c r="B44" s="107" t="s">
        <v>779</v>
      </c>
      <c r="C44" s="86"/>
      <c r="D44" s="86"/>
      <c r="E44" s="86"/>
      <c r="F44" s="86"/>
      <c r="G44" s="86"/>
      <c r="H44" s="87"/>
    </row>
    <row r="45" spans="1:8" x14ac:dyDescent="0.3">
      <c r="A45" s="30" t="s">
        <v>780</v>
      </c>
      <c r="B45" s="85" t="s">
        <v>781</v>
      </c>
      <c r="C45" s="86"/>
      <c r="D45" s="86"/>
      <c r="E45" s="86"/>
      <c r="F45" s="86"/>
      <c r="G45" s="86"/>
      <c r="H45" s="87"/>
    </row>
  </sheetData>
  <mergeCells count="31">
    <mergeCell ref="B43:H43"/>
    <mergeCell ref="A10:H10"/>
    <mergeCell ref="B44:H44"/>
    <mergeCell ref="B42:H42"/>
    <mergeCell ref="B45:H45"/>
    <mergeCell ref="A40:H40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A18:H18"/>
    <mergeCell ref="A1:H1"/>
    <mergeCell ref="B41:H41"/>
    <mergeCell ref="A24:H24"/>
    <mergeCell ref="A2:H2"/>
    <mergeCell ref="A38:H38"/>
    <mergeCell ref="D3:G3"/>
    <mergeCell ref="D4:G4"/>
    <mergeCell ref="D5:G5"/>
    <mergeCell ref="D6:G6"/>
    <mergeCell ref="D7:G7"/>
    <mergeCell ref="D8:G8"/>
    <mergeCell ref="B35:F35"/>
    <mergeCell ref="B36:F36"/>
    <mergeCell ref="B37:F37"/>
  </mergeCells>
  <phoneticPr fontId="32" type="noConversion"/>
  <printOptions horizontalCentered="1"/>
  <pageMargins left="0.25" right="0.25" top="0.75" bottom="0.75" header="0.3" footer="0.3"/>
  <pageSetup scale="93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4A843"/>
    <pageSetUpPr fitToPage="1"/>
  </sheetPr>
  <dimension ref="A1:E41"/>
  <sheetViews>
    <sheetView workbookViewId="0">
      <selection activeCell="D13" sqref="D13"/>
    </sheetView>
  </sheetViews>
  <sheetFormatPr defaultRowHeight="16.5" x14ac:dyDescent="0.3"/>
  <cols>
    <col min="1" max="1" width="20" customWidth="1"/>
    <col min="2" max="2" width="16" customWidth="1"/>
    <col min="3" max="3" width="39.75" customWidth="1"/>
    <col min="4" max="4" width="16" customWidth="1"/>
    <col min="5" max="5" width="22" customWidth="1"/>
  </cols>
  <sheetData>
    <row r="1" spans="1:5" ht="21" thickBot="1" x14ac:dyDescent="0.4">
      <c r="A1" s="100" t="s">
        <v>782</v>
      </c>
      <c r="B1" s="83"/>
      <c r="C1" s="83"/>
      <c r="D1" s="83"/>
      <c r="E1" s="83"/>
    </row>
    <row r="2" spans="1:5" ht="21" thickBot="1" x14ac:dyDescent="0.4">
      <c r="A2" s="100" t="s">
        <v>783</v>
      </c>
      <c r="B2" s="83"/>
      <c r="C2" s="83"/>
      <c r="D2" s="83"/>
      <c r="E2" s="83"/>
    </row>
    <row r="3" spans="1:5" x14ac:dyDescent="0.3">
      <c r="A3" s="2" t="s">
        <v>784</v>
      </c>
      <c r="B3" s="2" t="s">
        <v>785</v>
      </c>
      <c r="C3" s="2" t="s">
        <v>786</v>
      </c>
      <c r="D3" s="2" t="s">
        <v>787</v>
      </c>
      <c r="E3" s="2"/>
    </row>
    <row r="4" spans="1:5" x14ac:dyDescent="0.3">
      <c r="A4" s="30" t="s">
        <v>788</v>
      </c>
      <c r="B4" s="15"/>
      <c r="C4" s="8"/>
      <c r="D4" s="8"/>
      <c r="E4" s="8"/>
    </row>
    <row r="5" spans="1:5" x14ac:dyDescent="0.3">
      <c r="A5" s="30" t="s">
        <v>789</v>
      </c>
      <c r="B5" s="15"/>
      <c r="C5" s="8"/>
      <c r="D5" s="8"/>
      <c r="E5" s="8"/>
    </row>
    <row r="6" spans="1:5" x14ac:dyDescent="0.3">
      <c r="A6" s="30" t="s">
        <v>790</v>
      </c>
      <c r="B6" s="15"/>
      <c r="C6" s="8"/>
      <c r="D6" s="8"/>
      <c r="E6" s="8"/>
    </row>
    <row r="7" spans="1:5" x14ac:dyDescent="0.3">
      <c r="A7" s="30" t="s">
        <v>791</v>
      </c>
      <c r="B7" s="15"/>
      <c r="C7" s="8"/>
      <c r="D7" s="8"/>
      <c r="E7" s="8"/>
    </row>
    <row r="8" spans="1:5" x14ac:dyDescent="0.3">
      <c r="A8" s="30" t="s">
        <v>792</v>
      </c>
      <c r="B8" s="15"/>
      <c r="C8" s="8"/>
      <c r="D8" s="8"/>
      <c r="E8" s="8"/>
    </row>
    <row r="9" spans="1:5" x14ac:dyDescent="0.3">
      <c r="A9" s="30" t="s">
        <v>792</v>
      </c>
      <c r="B9" s="15"/>
      <c r="C9" s="8"/>
      <c r="D9" s="8"/>
      <c r="E9" s="8"/>
    </row>
    <row r="11" spans="1:5" ht="21" thickBot="1" x14ac:dyDescent="0.4">
      <c r="A11" s="100" t="s">
        <v>793</v>
      </c>
      <c r="B11" s="83"/>
      <c r="C11" s="83"/>
      <c r="D11" s="83"/>
      <c r="E11" s="83"/>
    </row>
    <row r="12" spans="1:5" x14ac:dyDescent="0.3">
      <c r="A12" s="2" t="s">
        <v>20</v>
      </c>
      <c r="B12" s="2" t="s">
        <v>784</v>
      </c>
      <c r="C12" s="2" t="s">
        <v>785</v>
      </c>
      <c r="D12" s="2" t="s">
        <v>794</v>
      </c>
      <c r="E12" s="2" t="s">
        <v>88</v>
      </c>
    </row>
    <row r="13" spans="1:5" x14ac:dyDescent="0.3">
      <c r="A13" s="3" t="s">
        <v>36</v>
      </c>
      <c r="B13" s="20" t="s">
        <v>788</v>
      </c>
      <c r="C13" s="15" t="s">
        <v>795</v>
      </c>
      <c r="D13" s="35" t="s">
        <v>796</v>
      </c>
      <c r="E13" s="25"/>
    </row>
    <row r="14" spans="1:5" x14ac:dyDescent="0.3">
      <c r="A14" s="3" t="s">
        <v>37</v>
      </c>
      <c r="B14" s="20" t="s">
        <v>788</v>
      </c>
      <c r="C14" s="15" t="s">
        <v>795</v>
      </c>
      <c r="D14" s="35" t="s">
        <v>797</v>
      </c>
      <c r="E14" s="25" t="s">
        <v>798</v>
      </c>
    </row>
    <row r="15" spans="1:5" x14ac:dyDescent="0.3">
      <c r="A15" s="3" t="s">
        <v>38</v>
      </c>
      <c r="B15" s="20" t="s">
        <v>788</v>
      </c>
      <c r="C15" s="15" t="s">
        <v>795</v>
      </c>
      <c r="D15" s="35" t="s">
        <v>799</v>
      </c>
      <c r="E15" s="25" t="s">
        <v>800</v>
      </c>
    </row>
    <row r="16" spans="1:5" x14ac:dyDescent="0.3">
      <c r="A16" s="3" t="s">
        <v>39</v>
      </c>
      <c r="B16" s="20" t="s">
        <v>788</v>
      </c>
      <c r="C16" s="15" t="s">
        <v>795</v>
      </c>
      <c r="D16" s="35" t="s">
        <v>801</v>
      </c>
      <c r="E16" s="25" t="s">
        <v>802</v>
      </c>
    </row>
    <row r="17" spans="1:5" x14ac:dyDescent="0.3">
      <c r="A17" s="3" t="s">
        <v>40</v>
      </c>
      <c r="B17" s="20" t="s">
        <v>788</v>
      </c>
      <c r="C17" s="15" t="s">
        <v>795</v>
      </c>
      <c r="D17" s="35" t="s">
        <v>803</v>
      </c>
      <c r="E17" s="25" t="s">
        <v>804</v>
      </c>
    </row>
    <row r="19" spans="1:5" ht="21" thickBot="1" x14ac:dyDescent="0.4">
      <c r="A19" s="100" t="s">
        <v>805</v>
      </c>
      <c r="B19" s="83"/>
      <c r="C19" s="83"/>
      <c r="D19" s="83"/>
      <c r="E19" s="83"/>
    </row>
    <row r="20" spans="1:5" ht="18.75" customHeight="1" x14ac:dyDescent="0.3">
      <c r="A20" s="2"/>
      <c r="B20" s="2" t="s">
        <v>806</v>
      </c>
      <c r="C20" s="2" t="s">
        <v>807</v>
      </c>
      <c r="D20" s="2" t="s">
        <v>224</v>
      </c>
      <c r="E20" s="2" t="s">
        <v>720</v>
      </c>
    </row>
    <row r="21" spans="1:5" ht="18.75" customHeight="1" x14ac:dyDescent="0.3">
      <c r="A21" s="8" t="s">
        <v>551</v>
      </c>
      <c r="B21" s="30" t="s">
        <v>808</v>
      </c>
      <c r="C21" s="15" t="s">
        <v>809</v>
      </c>
      <c r="D21" s="36" t="s">
        <v>268</v>
      </c>
      <c r="E21" s="25" t="s">
        <v>810</v>
      </c>
    </row>
    <row r="22" spans="1:5" ht="18.75" customHeight="1" x14ac:dyDescent="0.3">
      <c r="A22" s="8" t="s">
        <v>555</v>
      </c>
      <c r="B22" s="30" t="s">
        <v>811</v>
      </c>
      <c r="C22" s="15" t="s">
        <v>812</v>
      </c>
      <c r="D22" s="36" t="s">
        <v>268</v>
      </c>
      <c r="E22" s="25" t="s">
        <v>813</v>
      </c>
    </row>
    <row r="23" spans="1:5" ht="18.75" customHeight="1" x14ac:dyDescent="0.3">
      <c r="A23" s="8" t="s">
        <v>559</v>
      </c>
      <c r="B23" s="30" t="s">
        <v>697</v>
      </c>
      <c r="C23" s="15" t="s">
        <v>814</v>
      </c>
      <c r="D23" s="36" t="s">
        <v>268</v>
      </c>
      <c r="E23" s="25" t="s">
        <v>815</v>
      </c>
    </row>
    <row r="24" spans="1:5" ht="18.75" customHeight="1" x14ac:dyDescent="0.3">
      <c r="A24" s="8" t="s">
        <v>440</v>
      </c>
      <c r="B24" s="30" t="s">
        <v>816</v>
      </c>
      <c r="C24" s="15" t="s">
        <v>817</v>
      </c>
      <c r="D24" s="34" t="s">
        <v>701</v>
      </c>
      <c r="E24" s="25" t="s">
        <v>818</v>
      </c>
    </row>
    <row r="25" spans="1:5" ht="18.75" customHeight="1" x14ac:dyDescent="0.3">
      <c r="A25" s="8" t="s">
        <v>566</v>
      </c>
      <c r="B25" s="30" t="s">
        <v>819</v>
      </c>
      <c r="C25" s="15" t="s">
        <v>820</v>
      </c>
      <c r="D25" s="36" t="s">
        <v>268</v>
      </c>
      <c r="E25" s="25" t="s">
        <v>821</v>
      </c>
    </row>
    <row r="26" spans="1:5" ht="18.75" customHeight="1" x14ac:dyDescent="0.3">
      <c r="A26" s="8" t="s">
        <v>822</v>
      </c>
      <c r="B26" s="30" t="s">
        <v>823</v>
      </c>
      <c r="C26" s="15" t="s">
        <v>824</v>
      </c>
      <c r="D26" s="36" t="s">
        <v>268</v>
      </c>
      <c r="E26" s="25" t="s">
        <v>825</v>
      </c>
    </row>
    <row r="27" spans="1:5" ht="18.75" customHeight="1" x14ac:dyDescent="0.3">
      <c r="A27" s="8" t="s">
        <v>826</v>
      </c>
      <c r="B27" s="30" t="s">
        <v>827</v>
      </c>
      <c r="C27" s="15" t="s">
        <v>828</v>
      </c>
      <c r="D27" s="9" t="s">
        <v>678</v>
      </c>
      <c r="E27" s="25" t="s">
        <v>829</v>
      </c>
    </row>
    <row r="29" spans="1:5" ht="21" thickBot="1" x14ac:dyDescent="0.4">
      <c r="A29" s="100" t="s">
        <v>830</v>
      </c>
      <c r="B29" s="83"/>
      <c r="C29" s="83"/>
      <c r="D29" s="83"/>
      <c r="E29" s="83"/>
    </row>
    <row r="30" spans="1:5" x14ac:dyDescent="0.3">
      <c r="A30" s="30" t="s">
        <v>127</v>
      </c>
      <c r="B30" s="108" t="s">
        <v>128</v>
      </c>
      <c r="C30" s="86"/>
      <c r="D30" s="87"/>
    </row>
    <row r="31" spans="1:5" x14ac:dyDescent="0.3">
      <c r="A31" s="30" t="s">
        <v>129</v>
      </c>
      <c r="B31" s="108" t="s">
        <v>831</v>
      </c>
      <c r="C31" s="86"/>
      <c r="D31" s="87"/>
    </row>
    <row r="32" spans="1:5" x14ac:dyDescent="0.3">
      <c r="A32" s="30" t="s">
        <v>131</v>
      </c>
      <c r="B32" s="108" t="s">
        <v>132</v>
      </c>
      <c r="C32" s="86"/>
      <c r="D32" s="87"/>
    </row>
    <row r="33" spans="1:5" x14ac:dyDescent="0.3">
      <c r="A33" s="30" t="s">
        <v>832</v>
      </c>
      <c r="B33" s="108" t="s">
        <v>137</v>
      </c>
      <c r="C33" s="86"/>
      <c r="D33" s="87"/>
    </row>
    <row r="34" spans="1:5" x14ac:dyDescent="0.3">
      <c r="A34" s="30" t="s">
        <v>138</v>
      </c>
      <c r="B34" s="108" t="s">
        <v>139</v>
      </c>
      <c r="C34" s="86"/>
      <c r="D34" s="87"/>
    </row>
    <row r="36" spans="1:5" ht="21" thickBot="1" x14ac:dyDescent="0.4">
      <c r="A36" s="100" t="s">
        <v>833</v>
      </c>
      <c r="B36" s="83"/>
      <c r="C36" s="83"/>
      <c r="D36" s="83"/>
      <c r="E36" s="83"/>
    </row>
    <row r="37" spans="1:5" x14ac:dyDescent="0.3">
      <c r="A37" s="30" t="s">
        <v>834</v>
      </c>
      <c r="B37" s="85" t="s">
        <v>835</v>
      </c>
      <c r="C37" s="86"/>
      <c r="D37" s="86"/>
      <c r="E37" s="86"/>
    </row>
    <row r="38" spans="1:5" x14ac:dyDescent="0.3">
      <c r="A38" s="30" t="s">
        <v>836</v>
      </c>
      <c r="B38" s="85" t="s">
        <v>837</v>
      </c>
      <c r="C38" s="86"/>
      <c r="D38" s="86"/>
      <c r="E38" s="86"/>
    </row>
    <row r="39" spans="1:5" x14ac:dyDescent="0.3">
      <c r="A39" s="30" t="s">
        <v>838</v>
      </c>
      <c r="B39" s="85" t="s">
        <v>839</v>
      </c>
      <c r="C39" s="86"/>
      <c r="D39" s="86"/>
      <c r="E39" s="86"/>
    </row>
    <row r="40" spans="1:5" x14ac:dyDescent="0.3">
      <c r="A40" s="30" t="s">
        <v>840</v>
      </c>
      <c r="B40" s="85" t="s">
        <v>841</v>
      </c>
      <c r="C40" s="86"/>
      <c r="D40" s="86"/>
      <c r="E40" s="86"/>
    </row>
    <row r="41" spans="1:5" x14ac:dyDescent="0.3">
      <c r="A41" s="30" t="s">
        <v>780</v>
      </c>
      <c r="B41" s="85" t="s">
        <v>842</v>
      </c>
      <c r="C41" s="86"/>
      <c r="D41" s="86"/>
      <c r="E41" s="86"/>
    </row>
  </sheetData>
  <mergeCells count="16">
    <mergeCell ref="A1:E1"/>
    <mergeCell ref="B37:E37"/>
    <mergeCell ref="B34:D34"/>
    <mergeCell ref="A2:E2"/>
    <mergeCell ref="B32:D32"/>
    <mergeCell ref="B39:E39"/>
    <mergeCell ref="B38:E38"/>
    <mergeCell ref="A19:E19"/>
    <mergeCell ref="A11:E11"/>
    <mergeCell ref="B30:D30"/>
    <mergeCell ref="A36:E36"/>
    <mergeCell ref="B33:D33"/>
    <mergeCell ref="B40:E40"/>
    <mergeCell ref="B41:E41"/>
    <mergeCell ref="B31:D31"/>
    <mergeCell ref="A29:E29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74C3C"/>
    <pageSetUpPr fitToPage="1"/>
  </sheetPr>
  <dimension ref="A1:G87"/>
  <sheetViews>
    <sheetView topLeftCell="A23" workbookViewId="0">
      <selection activeCell="A86" sqref="A86:XFD86"/>
    </sheetView>
  </sheetViews>
  <sheetFormatPr defaultRowHeight="16.5" x14ac:dyDescent="0.3"/>
  <cols>
    <col min="1" max="1" width="14" customWidth="1"/>
    <col min="2" max="2" width="17.5" customWidth="1"/>
    <col min="3" max="3" width="20.875" customWidth="1"/>
    <col min="4" max="7" width="14" customWidth="1"/>
  </cols>
  <sheetData>
    <row r="1" spans="1:7" ht="21" thickBot="1" x14ac:dyDescent="0.4">
      <c r="A1" s="100" t="s">
        <v>843</v>
      </c>
      <c r="B1" s="83"/>
      <c r="C1" s="83"/>
      <c r="D1" s="83"/>
      <c r="E1" s="83"/>
      <c r="F1" s="83"/>
      <c r="G1" s="83"/>
    </row>
    <row r="2" spans="1:7" ht="21" thickBot="1" x14ac:dyDescent="0.4">
      <c r="A2" s="100" t="s">
        <v>844</v>
      </c>
      <c r="B2" s="83"/>
      <c r="C2" s="83"/>
      <c r="D2" s="83"/>
      <c r="E2" s="83"/>
      <c r="F2" s="83"/>
      <c r="G2" s="83"/>
    </row>
    <row r="3" spans="1:7" x14ac:dyDescent="0.3">
      <c r="A3" s="2" t="s">
        <v>20</v>
      </c>
      <c r="B3" s="2" t="s">
        <v>85</v>
      </c>
      <c r="C3" s="2" t="s">
        <v>24</v>
      </c>
      <c r="D3" s="2" t="s">
        <v>845</v>
      </c>
      <c r="E3" s="2" t="s">
        <v>846</v>
      </c>
      <c r="F3" s="2" t="s">
        <v>88</v>
      </c>
      <c r="G3" s="2"/>
    </row>
    <row r="4" spans="1:7" x14ac:dyDescent="0.3">
      <c r="A4" s="3" t="s">
        <v>31</v>
      </c>
      <c r="B4" s="22">
        <v>330</v>
      </c>
      <c r="C4" s="21">
        <v>1833</v>
      </c>
      <c r="D4" s="8" t="s">
        <v>89</v>
      </c>
      <c r="E4" s="17" t="s">
        <v>847</v>
      </c>
      <c r="F4" s="25"/>
      <c r="G4" s="8"/>
    </row>
    <row r="5" spans="1:7" x14ac:dyDescent="0.3">
      <c r="A5" s="3" t="s">
        <v>32</v>
      </c>
      <c r="B5" s="23" t="s">
        <v>91</v>
      </c>
      <c r="C5" s="21">
        <v>-2824</v>
      </c>
      <c r="D5" s="8" t="s">
        <v>91</v>
      </c>
      <c r="E5" s="8"/>
      <c r="F5" s="25" t="s">
        <v>848</v>
      </c>
      <c r="G5" s="8"/>
    </row>
    <row r="6" spans="1:7" x14ac:dyDescent="0.3">
      <c r="A6" s="3" t="s">
        <v>33</v>
      </c>
      <c r="B6" s="22">
        <v>260</v>
      </c>
      <c r="C6" s="21">
        <v>-100</v>
      </c>
      <c r="D6" s="8" t="s">
        <v>849</v>
      </c>
      <c r="E6" s="17" t="s">
        <v>847</v>
      </c>
      <c r="F6" s="25"/>
      <c r="G6" s="8"/>
    </row>
    <row r="7" spans="1:7" x14ac:dyDescent="0.3">
      <c r="A7" s="3" t="s">
        <v>34</v>
      </c>
      <c r="B7" s="22">
        <v>300</v>
      </c>
      <c r="C7" s="21">
        <v>2161</v>
      </c>
      <c r="D7" s="8" t="s">
        <v>94</v>
      </c>
      <c r="E7" s="17" t="s">
        <v>67</v>
      </c>
      <c r="F7" s="25"/>
      <c r="G7" s="8"/>
    </row>
    <row r="8" spans="1:7" x14ac:dyDescent="0.3">
      <c r="A8" s="3" t="s">
        <v>35</v>
      </c>
      <c r="B8" s="22">
        <v>500</v>
      </c>
      <c r="C8" s="21">
        <v>5151</v>
      </c>
      <c r="D8" s="8" t="s">
        <v>96</v>
      </c>
      <c r="E8" s="17" t="s">
        <v>67</v>
      </c>
      <c r="F8" s="25" t="s">
        <v>850</v>
      </c>
      <c r="G8" s="8"/>
    </row>
    <row r="9" spans="1:7" x14ac:dyDescent="0.3">
      <c r="A9" s="3" t="s">
        <v>36</v>
      </c>
      <c r="B9" s="22">
        <v>500</v>
      </c>
      <c r="C9" s="21">
        <v>2180</v>
      </c>
      <c r="D9" s="8" t="s">
        <v>99</v>
      </c>
      <c r="E9" s="8" t="s">
        <v>851</v>
      </c>
      <c r="F9" s="25"/>
      <c r="G9" s="8"/>
    </row>
    <row r="10" spans="1:7" x14ac:dyDescent="0.3">
      <c r="A10" s="3" t="s">
        <v>37</v>
      </c>
      <c r="B10" s="22">
        <v>500</v>
      </c>
      <c r="C10" s="21">
        <v>2229</v>
      </c>
      <c r="D10" s="8" t="s">
        <v>101</v>
      </c>
      <c r="E10" s="8" t="s">
        <v>851</v>
      </c>
      <c r="F10" s="25"/>
      <c r="G10" s="8"/>
    </row>
    <row r="11" spans="1:7" x14ac:dyDescent="0.3">
      <c r="A11" s="3" t="s">
        <v>38</v>
      </c>
      <c r="B11" s="22">
        <v>500</v>
      </c>
      <c r="C11" s="21">
        <v>1293</v>
      </c>
      <c r="D11" s="8" t="s">
        <v>103</v>
      </c>
      <c r="E11" s="8" t="s">
        <v>851</v>
      </c>
      <c r="F11" s="25"/>
      <c r="G11" s="8"/>
    </row>
    <row r="12" spans="1:7" x14ac:dyDescent="0.3">
      <c r="A12" s="3" t="s">
        <v>39</v>
      </c>
      <c r="B12" s="22">
        <v>600</v>
      </c>
      <c r="C12" s="21">
        <v>1585</v>
      </c>
      <c r="D12" s="8" t="s">
        <v>105</v>
      </c>
      <c r="E12" s="17" t="s">
        <v>67</v>
      </c>
      <c r="F12" s="25" t="s">
        <v>852</v>
      </c>
      <c r="G12" s="8"/>
    </row>
    <row r="13" spans="1:7" x14ac:dyDescent="0.3">
      <c r="A13" s="3" t="s">
        <v>40</v>
      </c>
      <c r="B13" s="22">
        <v>800</v>
      </c>
      <c r="C13" s="21">
        <v>3661</v>
      </c>
      <c r="D13" s="8" t="s">
        <v>107</v>
      </c>
      <c r="E13" s="17" t="s">
        <v>67</v>
      </c>
      <c r="F13" s="25" t="s">
        <v>853</v>
      </c>
      <c r="G13" s="8"/>
    </row>
    <row r="14" spans="1:7" ht="24" x14ac:dyDescent="0.3">
      <c r="A14" s="40" t="s">
        <v>110</v>
      </c>
      <c r="B14" s="42">
        <v>1000</v>
      </c>
      <c r="C14" s="39" t="s">
        <v>91</v>
      </c>
      <c r="D14" s="12" t="s">
        <v>91</v>
      </c>
      <c r="E14" s="34" t="s">
        <v>67</v>
      </c>
      <c r="F14" s="63" t="s">
        <v>854</v>
      </c>
      <c r="G14" s="12"/>
    </row>
    <row r="16" spans="1:7" ht="21" thickBot="1" x14ac:dyDescent="0.4">
      <c r="A16" s="100" t="s">
        <v>855</v>
      </c>
      <c r="B16" s="83"/>
      <c r="C16" s="83"/>
      <c r="D16" s="83"/>
      <c r="E16" s="83"/>
      <c r="F16" s="83"/>
      <c r="G16" s="83"/>
    </row>
    <row r="17" spans="1:7" x14ac:dyDescent="0.3">
      <c r="A17" s="2" t="s">
        <v>20</v>
      </c>
      <c r="B17" s="2" t="s">
        <v>856</v>
      </c>
      <c r="C17" s="2" t="s">
        <v>857</v>
      </c>
      <c r="D17" s="2" t="s">
        <v>858</v>
      </c>
      <c r="E17" s="2" t="s">
        <v>859</v>
      </c>
      <c r="F17" s="2" t="s">
        <v>860</v>
      </c>
      <c r="G17" s="2" t="s">
        <v>88</v>
      </c>
    </row>
    <row r="18" spans="1:7" x14ac:dyDescent="0.3">
      <c r="A18" s="3" t="s">
        <v>861</v>
      </c>
      <c r="B18" s="21" t="s">
        <v>862</v>
      </c>
      <c r="C18" s="21" t="s">
        <v>91</v>
      </c>
      <c r="D18" s="21" t="s">
        <v>91</v>
      </c>
      <c r="E18" s="21" t="s">
        <v>91</v>
      </c>
      <c r="F18" s="64" t="s">
        <v>862</v>
      </c>
      <c r="G18" s="25"/>
    </row>
    <row r="19" spans="1:7" x14ac:dyDescent="0.3">
      <c r="A19" s="3" t="s">
        <v>863</v>
      </c>
      <c r="B19" s="21" t="s">
        <v>862</v>
      </c>
      <c r="C19" s="21" t="s">
        <v>91</v>
      </c>
      <c r="D19" s="21" t="s">
        <v>91</v>
      </c>
      <c r="E19" s="21" t="s">
        <v>91</v>
      </c>
      <c r="F19" s="64" t="s">
        <v>862</v>
      </c>
      <c r="G19" s="25"/>
    </row>
    <row r="20" spans="1:7" x14ac:dyDescent="0.3">
      <c r="A20" s="3" t="s">
        <v>31</v>
      </c>
      <c r="B20" s="21" t="s">
        <v>862</v>
      </c>
      <c r="C20" s="22" t="s">
        <v>864</v>
      </c>
      <c r="D20" s="23" t="s">
        <v>865</v>
      </c>
      <c r="E20" s="21" t="s">
        <v>91</v>
      </c>
      <c r="F20" s="64" t="s">
        <v>866</v>
      </c>
      <c r="G20" s="25"/>
    </row>
    <row r="21" spans="1:7" x14ac:dyDescent="0.3">
      <c r="A21" s="3" t="s">
        <v>32</v>
      </c>
      <c r="B21" s="21" t="s">
        <v>866</v>
      </c>
      <c r="C21" s="21" t="s">
        <v>91</v>
      </c>
      <c r="D21" s="21" t="s">
        <v>91</v>
      </c>
      <c r="E21" s="21" t="s">
        <v>91</v>
      </c>
      <c r="F21" s="64" t="s">
        <v>866</v>
      </c>
      <c r="G21" s="25"/>
    </row>
    <row r="22" spans="1:7" x14ac:dyDescent="0.3">
      <c r="A22" s="3" t="s">
        <v>33</v>
      </c>
      <c r="B22" s="21" t="s">
        <v>866</v>
      </c>
      <c r="C22" s="21" t="s">
        <v>91</v>
      </c>
      <c r="D22" s="23" t="s">
        <v>866</v>
      </c>
      <c r="E22" s="21" t="s">
        <v>91</v>
      </c>
      <c r="F22" s="64" t="s">
        <v>91</v>
      </c>
      <c r="G22" s="25"/>
    </row>
    <row r="23" spans="1:7" x14ac:dyDescent="0.3">
      <c r="A23" s="3" t="s">
        <v>34</v>
      </c>
      <c r="B23" s="21" t="s">
        <v>91</v>
      </c>
      <c r="C23" s="22" t="s">
        <v>867</v>
      </c>
      <c r="D23" s="21" t="s">
        <v>91</v>
      </c>
      <c r="E23" s="21" t="s">
        <v>91</v>
      </c>
      <c r="F23" s="64" t="s">
        <v>867</v>
      </c>
      <c r="G23" s="25"/>
    </row>
    <row r="24" spans="1:7" x14ac:dyDescent="0.3">
      <c r="A24" s="3" t="s">
        <v>35</v>
      </c>
      <c r="B24" s="21" t="s">
        <v>867</v>
      </c>
      <c r="C24" s="21" t="s">
        <v>91</v>
      </c>
      <c r="D24" s="21" t="s">
        <v>91</v>
      </c>
      <c r="E24" s="21" t="s">
        <v>91</v>
      </c>
      <c r="F24" s="64" t="s">
        <v>867</v>
      </c>
      <c r="G24" s="25"/>
    </row>
    <row r="25" spans="1:7" x14ac:dyDescent="0.3">
      <c r="A25" s="3" t="s">
        <v>36</v>
      </c>
      <c r="B25" s="21" t="s">
        <v>867</v>
      </c>
      <c r="C25" s="21" t="s">
        <v>91</v>
      </c>
      <c r="D25" s="21" t="s">
        <v>91</v>
      </c>
      <c r="E25" s="21" t="s">
        <v>91</v>
      </c>
      <c r="F25" s="64" t="s">
        <v>867</v>
      </c>
      <c r="G25" s="25"/>
    </row>
    <row r="26" spans="1:7" x14ac:dyDescent="0.3">
      <c r="A26" s="3" t="s">
        <v>37</v>
      </c>
      <c r="B26" s="21" t="s">
        <v>867</v>
      </c>
      <c r="C26" s="21" t="s">
        <v>91</v>
      </c>
      <c r="D26" s="23" t="s">
        <v>868</v>
      </c>
      <c r="E26" s="21" t="s">
        <v>91</v>
      </c>
      <c r="F26" s="64" t="s">
        <v>869</v>
      </c>
      <c r="G26" s="25"/>
    </row>
    <row r="27" spans="1:7" x14ac:dyDescent="0.3">
      <c r="A27" s="3" t="s">
        <v>38</v>
      </c>
      <c r="B27" s="21" t="s">
        <v>869</v>
      </c>
      <c r="C27" s="22" t="s">
        <v>870</v>
      </c>
      <c r="D27" s="21" t="s">
        <v>91</v>
      </c>
      <c r="E27" s="21" t="s">
        <v>91</v>
      </c>
      <c r="F27" s="64" t="s">
        <v>871</v>
      </c>
      <c r="G27" s="25" t="s">
        <v>872</v>
      </c>
    </row>
    <row r="28" spans="1:7" x14ac:dyDescent="0.3">
      <c r="A28" s="3" t="s">
        <v>39</v>
      </c>
      <c r="B28" s="21" t="s">
        <v>871</v>
      </c>
      <c r="C28" s="22" t="s">
        <v>873</v>
      </c>
      <c r="D28" s="23" t="s">
        <v>874</v>
      </c>
      <c r="E28" s="21" t="s">
        <v>91</v>
      </c>
      <c r="F28" s="64" t="s">
        <v>875</v>
      </c>
      <c r="G28" s="25" t="s">
        <v>872</v>
      </c>
    </row>
    <row r="29" spans="1:7" x14ac:dyDescent="0.3">
      <c r="A29" s="3" t="s">
        <v>40</v>
      </c>
      <c r="B29" s="21" t="s">
        <v>875</v>
      </c>
      <c r="C29" s="22" t="s">
        <v>876</v>
      </c>
      <c r="D29" s="21" t="s">
        <v>91</v>
      </c>
      <c r="E29" s="21" t="s">
        <v>91</v>
      </c>
      <c r="F29" s="64" t="s">
        <v>877</v>
      </c>
      <c r="G29" s="25" t="s">
        <v>872</v>
      </c>
    </row>
    <row r="30" spans="1:7" x14ac:dyDescent="0.3">
      <c r="A30" s="40" t="s">
        <v>878</v>
      </c>
      <c r="B30" s="39" t="s">
        <v>91</v>
      </c>
      <c r="C30" s="39" t="s">
        <v>91</v>
      </c>
      <c r="D30" s="39" t="s">
        <v>91</v>
      </c>
      <c r="E30" s="65" t="s">
        <v>879</v>
      </c>
      <c r="F30" s="39" t="s">
        <v>91</v>
      </c>
      <c r="G30" s="63" t="s">
        <v>880</v>
      </c>
    </row>
    <row r="32" spans="1:7" ht="21" thickBot="1" x14ac:dyDescent="0.4">
      <c r="A32" s="100" t="s">
        <v>881</v>
      </c>
      <c r="B32" s="83"/>
      <c r="C32" s="83"/>
      <c r="D32" s="83"/>
      <c r="E32" s="83"/>
      <c r="F32" s="83"/>
      <c r="G32" s="83"/>
    </row>
    <row r="33" spans="1:7" x14ac:dyDescent="0.3">
      <c r="A33" s="2" t="s">
        <v>595</v>
      </c>
      <c r="B33" s="2" t="s">
        <v>882</v>
      </c>
      <c r="C33" s="2" t="s">
        <v>597</v>
      </c>
      <c r="D33" s="2"/>
      <c r="E33" s="2"/>
      <c r="F33" s="2"/>
      <c r="G33" s="2"/>
    </row>
    <row r="34" spans="1:7" ht="27" x14ac:dyDescent="0.3">
      <c r="A34" s="26" t="s">
        <v>883</v>
      </c>
      <c r="B34" s="29" t="s">
        <v>129</v>
      </c>
      <c r="C34" s="15" t="s">
        <v>114</v>
      </c>
      <c r="D34" s="8"/>
      <c r="E34" s="8"/>
      <c r="F34" s="8"/>
      <c r="G34" s="8"/>
    </row>
    <row r="35" spans="1:7" ht="27" x14ac:dyDescent="0.3">
      <c r="A35" s="26" t="s">
        <v>113</v>
      </c>
      <c r="B35" s="29" t="s">
        <v>129</v>
      </c>
      <c r="C35" s="15" t="s">
        <v>884</v>
      </c>
      <c r="D35" s="8"/>
      <c r="E35" s="8"/>
      <c r="F35" s="8"/>
      <c r="G35" s="8"/>
    </row>
    <row r="36" spans="1:7" ht="27" x14ac:dyDescent="0.3">
      <c r="A36" s="26" t="s">
        <v>115</v>
      </c>
      <c r="B36" s="29" t="s">
        <v>129</v>
      </c>
      <c r="C36" s="15" t="s">
        <v>116</v>
      </c>
      <c r="D36" s="8"/>
      <c r="E36" s="8"/>
      <c r="F36" s="8"/>
      <c r="G36" s="8"/>
    </row>
    <row r="37" spans="1:7" ht="27" x14ac:dyDescent="0.3">
      <c r="A37" s="26" t="s">
        <v>117</v>
      </c>
      <c r="B37" s="17" t="s">
        <v>885</v>
      </c>
      <c r="C37" s="15" t="s">
        <v>886</v>
      </c>
      <c r="D37" s="8"/>
      <c r="E37" s="8"/>
      <c r="F37" s="8"/>
      <c r="G37" s="8"/>
    </row>
    <row r="38" spans="1:7" x14ac:dyDescent="0.3">
      <c r="A38" s="26" t="s">
        <v>119</v>
      </c>
      <c r="B38" s="29" t="s">
        <v>129</v>
      </c>
      <c r="C38" s="15" t="s">
        <v>120</v>
      </c>
      <c r="D38" s="8"/>
      <c r="E38" s="8"/>
      <c r="F38" s="8"/>
      <c r="G38" s="8"/>
    </row>
    <row r="39" spans="1:7" x14ac:dyDescent="0.3">
      <c r="A39" s="26" t="s">
        <v>121</v>
      </c>
      <c r="B39" s="29" t="s">
        <v>129</v>
      </c>
      <c r="C39" s="15" t="s">
        <v>120</v>
      </c>
      <c r="D39" s="8"/>
      <c r="E39" s="8"/>
      <c r="F39" s="8"/>
      <c r="G39" s="8"/>
    </row>
    <row r="40" spans="1:7" ht="27" x14ac:dyDescent="0.3">
      <c r="A40" s="26" t="s">
        <v>122</v>
      </c>
      <c r="B40" s="66" t="s">
        <v>605</v>
      </c>
      <c r="C40" s="15" t="s">
        <v>887</v>
      </c>
      <c r="D40" s="8"/>
      <c r="E40" s="8"/>
      <c r="F40" s="8"/>
      <c r="G40" s="8"/>
    </row>
    <row r="41" spans="1:7" ht="27" x14ac:dyDescent="0.3">
      <c r="A41" s="26" t="s">
        <v>124</v>
      </c>
      <c r="B41" s="17" t="s">
        <v>885</v>
      </c>
      <c r="C41" s="15" t="s">
        <v>888</v>
      </c>
      <c r="D41" s="8"/>
      <c r="E41" s="8"/>
      <c r="F41" s="8"/>
      <c r="G41" s="8"/>
    </row>
    <row r="43" spans="1:7" ht="21" thickBot="1" x14ac:dyDescent="0.4">
      <c r="A43" s="100" t="s">
        <v>889</v>
      </c>
      <c r="B43" s="83"/>
      <c r="C43" s="83"/>
      <c r="D43" s="83"/>
      <c r="E43" s="83"/>
      <c r="F43" s="83"/>
      <c r="G43" s="83"/>
    </row>
    <row r="44" spans="1:7" ht="17.25" customHeight="1" x14ac:dyDescent="0.3">
      <c r="A44" s="2" t="s">
        <v>595</v>
      </c>
      <c r="B44" s="2" t="s">
        <v>890</v>
      </c>
      <c r="C44" s="2" t="s">
        <v>891</v>
      </c>
      <c r="D44" s="2" t="s">
        <v>892</v>
      </c>
      <c r="E44" s="2"/>
      <c r="F44" s="2"/>
      <c r="G44" s="2"/>
    </row>
    <row r="45" spans="1:7" ht="17.25" customHeight="1" x14ac:dyDescent="0.3">
      <c r="A45" s="24" t="s">
        <v>893</v>
      </c>
      <c r="B45" s="67" t="s">
        <v>894</v>
      </c>
      <c r="C45" s="8" t="s">
        <v>895</v>
      </c>
      <c r="D45" s="21" t="s">
        <v>896</v>
      </c>
      <c r="E45" s="8"/>
      <c r="F45" s="8"/>
      <c r="G45" s="8"/>
    </row>
    <row r="46" spans="1:7" ht="17.25" customHeight="1" x14ac:dyDescent="0.3">
      <c r="A46" s="24" t="s">
        <v>897</v>
      </c>
      <c r="B46" s="67" t="s">
        <v>894</v>
      </c>
      <c r="C46" s="8" t="s">
        <v>895</v>
      </c>
      <c r="D46" s="21" t="s">
        <v>898</v>
      </c>
      <c r="E46" s="8"/>
      <c r="F46" s="8"/>
      <c r="G46" s="8"/>
    </row>
    <row r="47" spans="1:7" ht="17.25" customHeight="1" x14ac:dyDescent="0.3">
      <c r="A47" s="24" t="s">
        <v>899</v>
      </c>
      <c r="B47" s="67" t="s">
        <v>894</v>
      </c>
      <c r="C47" s="8" t="s">
        <v>895</v>
      </c>
      <c r="D47" s="21" t="s">
        <v>900</v>
      </c>
      <c r="E47" s="8"/>
      <c r="F47" s="8"/>
      <c r="G47" s="8"/>
    </row>
    <row r="48" spans="1:7" ht="17.25" customHeight="1" x14ac:dyDescent="0.3">
      <c r="A48" s="24" t="s">
        <v>901</v>
      </c>
      <c r="B48" s="67" t="s">
        <v>902</v>
      </c>
      <c r="C48" s="8" t="s">
        <v>895</v>
      </c>
      <c r="D48" s="21" t="s">
        <v>903</v>
      </c>
      <c r="E48" s="8"/>
      <c r="F48" s="8"/>
      <c r="G48" s="8"/>
    </row>
    <row r="49" spans="1:7" ht="17.25" customHeight="1" x14ac:dyDescent="0.3">
      <c r="A49" s="24" t="s">
        <v>904</v>
      </c>
      <c r="B49" s="67" t="s">
        <v>905</v>
      </c>
      <c r="C49" s="8" t="s">
        <v>906</v>
      </c>
      <c r="D49" s="21" t="s">
        <v>907</v>
      </c>
      <c r="E49" s="8"/>
      <c r="F49" s="8"/>
      <c r="G49" s="8"/>
    </row>
    <row r="50" spans="1:7" ht="17.25" customHeight="1" x14ac:dyDescent="0.3">
      <c r="A50" s="24" t="s">
        <v>908</v>
      </c>
      <c r="B50" s="67" t="s">
        <v>905</v>
      </c>
      <c r="C50" s="8" t="s">
        <v>906</v>
      </c>
      <c r="D50" s="21" t="s">
        <v>909</v>
      </c>
      <c r="E50" s="8"/>
      <c r="F50" s="8"/>
      <c r="G50" s="8"/>
    </row>
    <row r="51" spans="1:7" ht="17.25" customHeight="1" x14ac:dyDescent="0.3">
      <c r="A51" s="24" t="s">
        <v>910</v>
      </c>
      <c r="B51" s="67" t="s">
        <v>905</v>
      </c>
      <c r="C51" s="8" t="s">
        <v>906</v>
      </c>
      <c r="D51" s="21" t="s">
        <v>911</v>
      </c>
      <c r="E51" s="8"/>
      <c r="F51" s="8"/>
      <c r="G51" s="8"/>
    </row>
    <row r="52" spans="1:7" ht="17.25" customHeight="1" x14ac:dyDescent="0.3">
      <c r="A52" s="24" t="s">
        <v>912</v>
      </c>
      <c r="B52" s="67" t="s">
        <v>905</v>
      </c>
      <c r="C52" s="8" t="s">
        <v>906</v>
      </c>
      <c r="D52" s="21" t="s">
        <v>913</v>
      </c>
      <c r="E52" s="8"/>
      <c r="F52" s="8"/>
      <c r="G52" s="8"/>
    </row>
    <row r="53" spans="1:7" ht="17.25" customHeight="1" x14ac:dyDescent="0.3">
      <c r="A53" s="24" t="s">
        <v>914</v>
      </c>
      <c r="B53" s="67" t="s">
        <v>905</v>
      </c>
      <c r="C53" s="8" t="s">
        <v>906</v>
      </c>
      <c r="D53" s="21" t="s">
        <v>915</v>
      </c>
      <c r="E53" s="8"/>
      <c r="F53" s="8"/>
      <c r="G53" s="8"/>
    </row>
    <row r="54" spans="1:7" ht="17.25" customHeight="1" x14ac:dyDescent="0.3">
      <c r="A54" s="24" t="s">
        <v>916</v>
      </c>
      <c r="B54" s="67" t="s">
        <v>905</v>
      </c>
      <c r="C54" s="8" t="s">
        <v>906</v>
      </c>
      <c r="D54" s="21" t="s">
        <v>917</v>
      </c>
      <c r="E54" s="8"/>
      <c r="F54" s="8"/>
      <c r="G54" s="8"/>
    </row>
    <row r="55" spans="1:7" ht="17.25" customHeight="1" x14ac:dyDescent="0.3">
      <c r="A55" s="24" t="s">
        <v>918</v>
      </c>
      <c r="B55" s="67" t="s">
        <v>905</v>
      </c>
      <c r="C55" s="8" t="s">
        <v>906</v>
      </c>
      <c r="D55" s="21" t="s">
        <v>917</v>
      </c>
      <c r="E55" s="8"/>
      <c r="F55" s="8"/>
      <c r="G55" s="8"/>
    </row>
    <row r="56" spans="1:7" ht="17.25" customHeight="1" x14ac:dyDescent="0.3">
      <c r="A56" s="24" t="s">
        <v>919</v>
      </c>
      <c r="B56" s="67" t="s">
        <v>902</v>
      </c>
      <c r="C56" s="8" t="s">
        <v>895</v>
      </c>
      <c r="D56" s="21" t="s">
        <v>920</v>
      </c>
      <c r="E56" s="8"/>
      <c r="F56" s="8"/>
      <c r="G56" s="8"/>
    </row>
    <row r="57" spans="1:7" ht="17.25" customHeight="1" x14ac:dyDescent="0.3">
      <c r="A57" s="24" t="s">
        <v>919</v>
      </c>
      <c r="B57" s="67" t="s">
        <v>902</v>
      </c>
      <c r="C57" s="8" t="s">
        <v>906</v>
      </c>
      <c r="D57" s="21" t="s">
        <v>921</v>
      </c>
      <c r="E57" s="8"/>
      <c r="F57" s="8"/>
      <c r="G57" s="8"/>
    </row>
    <row r="58" spans="1:7" ht="17.25" customHeight="1" x14ac:dyDescent="0.3">
      <c r="A58" s="24" t="s">
        <v>922</v>
      </c>
      <c r="B58" s="67" t="s">
        <v>902</v>
      </c>
      <c r="C58" s="8" t="s">
        <v>895</v>
      </c>
      <c r="D58" s="21" t="s">
        <v>923</v>
      </c>
      <c r="E58" s="8"/>
      <c r="F58" s="8"/>
      <c r="G58" s="8"/>
    </row>
    <row r="59" spans="1:7" ht="17.25" customHeight="1" x14ac:dyDescent="0.3">
      <c r="A59" s="24" t="s">
        <v>922</v>
      </c>
      <c r="B59" s="67" t="s">
        <v>902</v>
      </c>
      <c r="C59" s="8" t="s">
        <v>906</v>
      </c>
      <c r="D59" s="21" t="s">
        <v>924</v>
      </c>
      <c r="E59" s="8"/>
      <c r="F59" s="8"/>
      <c r="G59" s="8"/>
    </row>
    <row r="60" spans="1:7" ht="17.25" customHeight="1" x14ac:dyDescent="0.3">
      <c r="A60" s="24" t="s">
        <v>925</v>
      </c>
      <c r="B60" s="67" t="s">
        <v>902</v>
      </c>
      <c r="C60" s="8" t="s">
        <v>895</v>
      </c>
      <c r="D60" s="21" t="s">
        <v>926</v>
      </c>
      <c r="E60" s="8"/>
      <c r="F60" s="8"/>
      <c r="G60" s="8"/>
    </row>
    <row r="61" spans="1:7" ht="17.25" customHeight="1" x14ac:dyDescent="0.3">
      <c r="A61" s="24" t="s">
        <v>925</v>
      </c>
      <c r="B61" s="67" t="s">
        <v>902</v>
      </c>
      <c r="C61" s="8" t="s">
        <v>906</v>
      </c>
      <c r="D61" s="21" t="s">
        <v>927</v>
      </c>
      <c r="E61" s="8"/>
      <c r="F61" s="8"/>
      <c r="G61" s="8"/>
    </row>
    <row r="62" spans="1:7" ht="17.25" customHeight="1" x14ac:dyDescent="0.3">
      <c r="A62" s="24" t="s">
        <v>928</v>
      </c>
      <c r="B62" s="67" t="s">
        <v>902</v>
      </c>
      <c r="C62" s="8" t="s">
        <v>895</v>
      </c>
      <c r="D62" s="21" t="s">
        <v>929</v>
      </c>
      <c r="E62" s="8"/>
      <c r="F62" s="8"/>
      <c r="G62" s="8"/>
    </row>
    <row r="63" spans="1:7" ht="17.25" customHeight="1" x14ac:dyDescent="0.3">
      <c r="A63" s="24" t="s">
        <v>928</v>
      </c>
      <c r="B63" s="67" t="s">
        <v>902</v>
      </c>
      <c r="C63" s="8" t="s">
        <v>906</v>
      </c>
      <c r="D63" s="21" t="s">
        <v>930</v>
      </c>
      <c r="E63" s="8"/>
      <c r="F63" s="8"/>
      <c r="G63" s="8"/>
    </row>
    <row r="64" spans="1:7" ht="17.25" customHeight="1" x14ac:dyDescent="0.3">
      <c r="A64" s="24" t="s">
        <v>931</v>
      </c>
      <c r="B64" s="67" t="s">
        <v>932</v>
      </c>
      <c r="C64" s="8" t="s">
        <v>895</v>
      </c>
      <c r="D64" s="21" t="s">
        <v>933</v>
      </c>
      <c r="E64" s="8"/>
      <c r="F64" s="8"/>
      <c r="G64" s="8"/>
    </row>
    <row r="65" spans="1:7" ht="17.25" customHeight="1" x14ac:dyDescent="0.3">
      <c r="A65" s="24" t="s">
        <v>934</v>
      </c>
      <c r="B65" s="67" t="s">
        <v>902</v>
      </c>
      <c r="C65" s="8" t="s">
        <v>895</v>
      </c>
      <c r="D65" s="21" t="s">
        <v>935</v>
      </c>
      <c r="E65" s="8"/>
      <c r="F65" s="8"/>
      <c r="G65" s="8"/>
    </row>
    <row r="66" spans="1:7" ht="17.25" customHeight="1" x14ac:dyDescent="0.3">
      <c r="A66" s="24" t="s">
        <v>934</v>
      </c>
      <c r="B66" s="67" t="s">
        <v>902</v>
      </c>
      <c r="C66" s="8" t="s">
        <v>906</v>
      </c>
      <c r="D66" s="21" t="s">
        <v>936</v>
      </c>
      <c r="E66" s="8"/>
      <c r="F66" s="8"/>
      <c r="G66" s="8"/>
    </row>
    <row r="67" spans="1:7" ht="17.25" customHeight="1" x14ac:dyDescent="0.3">
      <c r="A67" s="24" t="s">
        <v>937</v>
      </c>
      <c r="B67" s="67" t="s">
        <v>905</v>
      </c>
      <c r="C67" s="8" t="s">
        <v>938</v>
      </c>
      <c r="D67" s="21" t="s">
        <v>939</v>
      </c>
      <c r="E67" s="8"/>
      <c r="F67" s="8"/>
      <c r="G67" s="8"/>
    </row>
    <row r="68" spans="1:7" ht="17.25" customHeight="1" x14ac:dyDescent="0.3">
      <c r="A68" s="24" t="s">
        <v>940</v>
      </c>
      <c r="B68" s="67" t="s">
        <v>902</v>
      </c>
      <c r="C68" s="8" t="s">
        <v>895</v>
      </c>
      <c r="D68" s="21" t="s">
        <v>941</v>
      </c>
      <c r="E68" s="8"/>
      <c r="F68" s="8"/>
      <c r="G68" s="8"/>
    </row>
    <row r="69" spans="1:7" ht="17.25" customHeight="1" x14ac:dyDescent="0.3">
      <c r="A69" s="24" t="s">
        <v>942</v>
      </c>
      <c r="B69" s="67" t="s">
        <v>902</v>
      </c>
      <c r="C69" s="8" t="s">
        <v>895</v>
      </c>
      <c r="D69" s="21" t="s">
        <v>943</v>
      </c>
      <c r="E69" s="8"/>
      <c r="F69" s="8"/>
      <c r="G69" s="8"/>
    </row>
    <row r="70" spans="1:7" ht="17.25" customHeight="1" x14ac:dyDescent="0.3">
      <c r="A70" s="24" t="s">
        <v>944</v>
      </c>
      <c r="B70" s="67" t="s">
        <v>902</v>
      </c>
      <c r="C70" s="8" t="s">
        <v>895</v>
      </c>
      <c r="D70" s="21" t="s">
        <v>945</v>
      </c>
      <c r="E70" s="8"/>
      <c r="F70" s="8"/>
      <c r="G70" s="8"/>
    </row>
    <row r="71" spans="1:7" ht="17.25" customHeight="1" x14ac:dyDescent="0.3">
      <c r="A71" s="24" t="s">
        <v>946</v>
      </c>
      <c r="B71" s="67" t="s">
        <v>902</v>
      </c>
      <c r="C71" s="8" t="s">
        <v>895</v>
      </c>
      <c r="D71" s="21" t="s">
        <v>947</v>
      </c>
      <c r="E71" s="8"/>
      <c r="F71" s="8"/>
      <c r="G71" s="8"/>
    </row>
    <row r="72" spans="1:7" ht="17.25" customHeight="1" x14ac:dyDescent="0.3">
      <c r="A72" s="24" t="s">
        <v>946</v>
      </c>
      <c r="B72" s="67" t="s">
        <v>902</v>
      </c>
      <c r="C72" s="8" t="s">
        <v>895</v>
      </c>
      <c r="D72" s="21" t="s">
        <v>948</v>
      </c>
      <c r="E72" s="8"/>
      <c r="F72" s="8"/>
      <c r="G72" s="8"/>
    </row>
    <row r="73" spans="1:7" ht="17.25" customHeight="1" x14ac:dyDescent="0.3">
      <c r="A73" s="24" t="s">
        <v>949</v>
      </c>
      <c r="B73" s="67" t="s">
        <v>902</v>
      </c>
      <c r="C73" s="8" t="s">
        <v>895</v>
      </c>
      <c r="D73" s="21" t="s">
        <v>950</v>
      </c>
      <c r="E73" s="8"/>
      <c r="F73" s="8"/>
      <c r="G73" s="8"/>
    </row>
    <row r="74" spans="1:7" ht="17.25" customHeight="1" x14ac:dyDescent="0.3">
      <c r="A74" s="24" t="s">
        <v>951</v>
      </c>
      <c r="B74" s="67" t="s">
        <v>902</v>
      </c>
      <c r="C74" s="8" t="s">
        <v>895</v>
      </c>
      <c r="D74" s="21" t="s">
        <v>952</v>
      </c>
      <c r="E74" s="8"/>
      <c r="F74" s="8"/>
      <c r="G74" s="8"/>
    </row>
    <row r="75" spans="1:7" ht="17.25" customHeight="1" x14ac:dyDescent="0.3">
      <c r="A75" s="24" t="s">
        <v>953</v>
      </c>
      <c r="B75" s="67" t="s">
        <v>902</v>
      </c>
      <c r="C75" s="8" t="s">
        <v>895</v>
      </c>
      <c r="D75" s="21" t="s">
        <v>952</v>
      </c>
      <c r="E75" s="8"/>
      <c r="F75" s="8"/>
      <c r="G75" s="8"/>
    </row>
    <row r="76" spans="1:7" ht="17.25" customHeight="1" x14ac:dyDescent="0.3">
      <c r="A76" s="24" t="s">
        <v>954</v>
      </c>
      <c r="B76" s="67" t="s">
        <v>902</v>
      </c>
      <c r="C76" s="8" t="s">
        <v>895</v>
      </c>
      <c r="D76" s="21" t="s">
        <v>955</v>
      </c>
      <c r="E76" s="8"/>
      <c r="F76" s="8"/>
      <c r="G76" s="8"/>
    </row>
    <row r="77" spans="1:7" ht="17.25" customHeight="1" x14ac:dyDescent="0.3">
      <c r="A77" s="24" t="s">
        <v>956</v>
      </c>
      <c r="B77" s="67" t="s">
        <v>902</v>
      </c>
      <c r="C77" s="8" t="s">
        <v>895</v>
      </c>
      <c r="D77" s="21" t="s">
        <v>957</v>
      </c>
      <c r="E77" s="8"/>
      <c r="F77" s="8"/>
      <c r="G77" s="8"/>
    </row>
    <row r="78" spans="1:7" ht="17.25" customHeight="1" x14ac:dyDescent="0.3">
      <c r="A78" s="24" t="s">
        <v>958</v>
      </c>
      <c r="B78" s="67" t="s">
        <v>902</v>
      </c>
      <c r="C78" s="8" t="s">
        <v>895</v>
      </c>
      <c r="D78" s="21" t="s">
        <v>959</v>
      </c>
      <c r="E78" s="8"/>
      <c r="F78" s="8"/>
      <c r="G78" s="8"/>
    </row>
    <row r="79" spans="1:7" ht="17.25" customHeight="1" x14ac:dyDescent="0.3">
      <c r="A79" s="24" t="s">
        <v>960</v>
      </c>
      <c r="B79" s="67" t="s">
        <v>902</v>
      </c>
      <c r="C79" s="8" t="s">
        <v>895</v>
      </c>
      <c r="D79" s="21" t="s">
        <v>961</v>
      </c>
      <c r="E79" s="8"/>
      <c r="F79" s="8"/>
      <c r="G79" s="8"/>
    </row>
    <row r="80" spans="1:7" ht="17.25" customHeight="1" x14ac:dyDescent="0.3">
      <c r="A80" s="24" t="s">
        <v>962</v>
      </c>
      <c r="B80" s="67" t="s">
        <v>902</v>
      </c>
      <c r="C80" s="8" t="s">
        <v>895</v>
      </c>
      <c r="D80" s="21" t="s">
        <v>961</v>
      </c>
      <c r="E80" s="8"/>
      <c r="F80" s="8"/>
      <c r="G80" s="8"/>
    </row>
    <row r="82" spans="1:7" ht="21" thickBot="1" x14ac:dyDescent="0.4">
      <c r="A82" s="100" t="s">
        <v>963</v>
      </c>
      <c r="B82" s="83"/>
      <c r="C82" s="83"/>
      <c r="D82" s="83"/>
      <c r="E82" s="83"/>
      <c r="F82" s="83"/>
      <c r="G82" s="83"/>
    </row>
    <row r="83" spans="1:7" ht="39.75" customHeight="1" x14ac:dyDescent="0.3">
      <c r="A83" s="30" t="s">
        <v>964</v>
      </c>
      <c r="B83" s="36" t="s">
        <v>670</v>
      </c>
      <c r="C83" s="15" t="s">
        <v>965</v>
      </c>
      <c r="D83" s="8"/>
      <c r="E83" s="8"/>
      <c r="F83" s="8"/>
      <c r="G83" s="8"/>
    </row>
    <row r="84" spans="1:7" ht="30" customHeight="1" x14ac:dyDescent="0.3">
      <c r="A84" s="30" t="s">
        <v>699</v>
      </c>
      <c r="B84" s="34" t="s">
        <v>675</v>
      </c>
      <c r="C84" s="15" t="s">
        <v>966</v>
      </c>
      <c r="D84" s="8"/>
      <c r="E84" s="8"/>
      <c r="F84" s="8"/>
      <c r="G84" s="8"/>
    </row>
    <row r="85" spans="1:7" ht="18.75" customHeight="1" x14ac:dyDescent="0.3">
      <c r="A85" s="30" t="s">
        <v>967</v>
      </c>
      <c r="B85" s="34" t="s">
        <v>675</v>
      </c>
      <c r="C85" s="15" t="s">
        <v>968</v>
      </c>
      <c r="D85" s="8"/>
      <c r="E85" s="8"/>
      <c r="F85" s="8"/>
      <c r="G85" s="8"/>
    </row>
    <row r="86" spans="1:7" ht="27" customHeight="1" x14ac:dyDescent="0.3">
      <c r="A86" s="30" t="s">
        <v>969</v>
      </c>
      <c r="B86" s="36" t="s">
        <v>670</v>
      </c>
      <c r="C86" s="15" t="s">
        <v>970</v>
      </c>
      <c r="D86" s="8"/>
      <c r="E86" s="8"/>
      <c r="F86" s="8"/>
      <c r="G86" s="8"/>
    </row>
    <row r="87" spans="1:7" ht="27" x14ac:dyDescent="0.3">
      <c r="A87" s="30" t="s">
        <v>275</v>
      </c>
      <c r="B87" s="36" t="s">
        <v>670</v>
      </c>
      <c r="C87" s="15" t="s">
        <v>971</v>
      </c>
      <c r="D87" s="8"/>
      <c r="E87" s="8"/>
      <c r="F87" s="8"/>
      <c r="G87" s="8"/>
    </row>
  </sheetData>
  <mergeCells count="6">
    <mergeCell ref="A43:G43"/>
    <mergeCell ref="A2:G2"/>
    <mergeCell ref="A16:G16"/>
    <mergeCell ref="A82:G82"/>
    <mergeCell ref="A1:G1"/>
    <mergeCell ref="A32:G32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E44AD"/>
    <pageSetUpPr fitToPage="1"/>
  </sheetPr>
  <dimension ref="A1:G40"/>
  <sheetViews>
    <sheetView workbookViewId="0">
      <selection activeCell="A12" sqref="A12:G12"/>
    </sheetView>
  </sheetViews>
  <sheetFormatPr defaultRowHeight="16.5" x14ac:dyDescent="0.3"/>
  <cols>
    <col min="1" max="3" width="14" customWidth="1"/>
    <col min="4" max="4" width="16.625" customWidth="1"/>
    <col min="5" max="7" width="14" customWidth="1"/>
  </cols>
  <sheetData>
    <row r="1" spans="1:7" ht="21" thickBot="1" x14ac:dyDescent="0.4">
      <c r="A1" s="100" t="s">
        <v>972</v>
      </c>
      <c r="B1" s="83"/>
      <c r="C1" s="83"/>
      <c r="D1" s="83"/>
      <c r="E1" s="83"/>
      <c r="F1" s="83"/>
      <c r="G1" s="83"/>
    </row>
    <row r="2" spans="1:7" ht="21" thickBot="1" x14ac:dyDescent="0.4">
      <c r="A2" s="100" t="s">
        <v>973</v>
      </c>
      <c r="B2" s="83"/>
      <c r="C2" s="83"/>
      <c r="D2" s="83"/>
      <c r="E2" s="83"/>
      <c r="F2" s="83"/>
      <c r="G2" s="83"/>
    </row>
    <row r="3" spans="1:7" x14ac:dyDescent="0.3">
      <c r="A3" s="2" t="s">
        <v>20</v>
      </c>
      <c r="B3" s="2" t="s">
        <v>974</v>
      </c>
      <c r="C3" s="2" t="s">
        <v>975</v>
      </c>
      <c r="D3" s="2" t="s">
        <v>976</v>
      </c>
      <c r="E3" s="2" t="s">
        <v>30</v>
      </c>
      <c r="F3" s="2" t="s">
        <v>977</v>
      </c>
      <c r="G3" s="2" t="s">
        <v>88</v>
      </c>
    </row>
    <row r="4" spans="1:7" x14ac:dyDescent="0.3">
      <c r="A4" s="3" t="s">
        <v>36</v>
      </c>
      <c r="B4" s="8" t="s">
        <v>978</v>
      </c>
      <c r="C4" s="8" t="s">
        <v>979</v>
      </c>
      <c r="D4" s="8" t="s">
        <v>980</v>
      </c>
      <c r="E4" s="17" t="s">
        <v>981</v>
      </c>
      <c r="F4" s="25">
        <f>2.9*2.89*1.79</f>
        <v>15.001990000000001</v>
      </c>
      <c r="G4" s="8"/>
    </row>
    <row r="5" spans="1:7" x14ac:dyDescent="0.3">
      <c r="A5" s="3" t="s">
        <v>37</v>
      </c>
      <c r="B5" s="8" t="s">
        <v>982</v>
      </c>
      <c r="C5" s="8" t="s">
        <v>983</v>
      </c>
      <c r="D5" s="8" t="s">
        <v>984</v>
      </c>
      <c r="E5" s="17" t="s">
        <v>985</v>
      </c>
      <c r="F5" s="25">
        <f>3.9*1.92*1.76</f>
        <v>13.178879999999999</v>
      </c>
      <c r="G5" s="8"/>
    </row>
    <row r="6" spans="1:7" x14ac:dyDescent="0.3">
      <c r="A6" s="3" t="s">
        <v>38</v>
      </c>
      <c r="B6" s="8" t="s">
        <v>986</v>
      </c>
      <c r="C6" s="8" t="s">
        <v>987</v>
      </c>
      <c r="D6" s="8" t="s">
        <v>988</v>
      </c>
      <c r="E6" s="8" t="s">
        <v>989</v>
      </c>
      <c r="F6" s="25">
        <f>2.1*2.06*1.74</f>
        <v>7.5272400000000008</v>
      </c>
      <c r="G6" s="8"/>
    </row>
    <row r="7" spans="1:7" x14ac:dyDescent="0.3">
      <c r="A7" s="3" t="s">
        <v>39</v>
      </c>
      <c r="B7" s="8" t="s">
        <v>990</v>
      </c>
      <c r="C7" s="8" t="s">
        <v>991</v>
      </c>
      <c r="D7" s="8" t="s">
        <v>992</v>
      </c>
      <c r="E7" s="8" t="s">
        <v>993</v>
      </c>
      <c r="F7" s="25">
        <f>3*1.74*1.66</f>
        <v>8.6651999999999987</v>
      </c>
      <c r="G7" s="8"/>
    </row>
    <row r="8" spans="1:7" x14ac:dyDescent="0.3">
      <c r="A8" s="3" t="s">
        <v>40</v>
      </c>
      <c r="B8" s="17" t="s">
        <v>326</v>
      </c>
      <c r="C8" s="8" t="s">
        <v>994</v>
      </c>
      <c r="D8" s="8" t="s">
        <v>995</v>
      </c>
      <c r="E8" s="17" t="s">
        <v>94</v>
      </c>
      <c r="F8" s="25">
        <f>6*1.84*1.54</f>
        <v>17.001600000000003</v>
      </c>
      <c r="G8" s="8"/>
    </row>
    <row r="10" spans="1:7" x14ac:dyDescent="0.3">
      <c r="A10" s="110" t="s">
        <v>996</v>
      </c>
      <c r="B10" s="86"/>
      <c r="C10" s="86"/>
      <c r="D10" s="86"/>
      <c r="E10" s="86"/>
      <c r="F10" s="86"/>
      <c r="G10" s="86"/>
    </row>
    <row r="12" spans="1:7" ht="21" thickBot="1" x14ac:dyDescent="0.4">
      <c r="A12" s="100" t="s">
        <v>997</v>
      </c>
      <c r="B12" s="83"/>
      <c r="C12" s="83"/>
      <c r="D12" s="83"/>
      <c r="E12" s="83"/>
      <c r="F12" s="83"/>
      <c r="G12" s="83"/>
    </row>
    <row r="13" spans="1:7" x14ac:dyDescent="0.3">
      <c r="A13" s="2" t="s">
        <v>20</v>
      </c>
      <c r="B13" s="2" t="s">
        <v>75</v>
      </c>
      <c r="C13" s="2" t="s">
        <v>998</v>
      </c>
      <c r="D13" s="2" t="s">
        <v>999</v>
      </c>
      <c r="E13" s="2" t="s">
        <v>1000</v>
      </c>
      <c r="F13" s="2" t="s">
        <v>1001</v>
      </c>
      <c r="G13" s="2" t="s">
        <v>224</v>
      </c>
    </row>
    <row r="14" spans="1:7" x14ac:dyDescent="0.3">
      <c r="A14" s="3" t="s">
        <v>36</v>
      </c>
      <c r="B14" s="4">
        <v>384</v>
      </c>
      <c r="C14" s="4">
        <v>195</v>
      </c>
      <c r="D14" s="4">
        <v>440</v>
      </c>
      <c r="E14" s="68">
        <v>-245</v>
      </c>
      <c r="F14" s="44" t="s">
        <v>1002</v>
      </c>
      <c r="G14" s="44" t="s">
        <v>1003</v>
      </c>
    </row>
    <row r="15" spans="1:7" x14ac:dyDescent="0.3">
      <c r="A15" s="3" t="s">
        <v>37</v>
      </c>
      <c r="B15" s="4">
        <v>395</v>
      </c>
      <c r="C15" s="4">
        <v>928</v>
      </c>
      <c r="D15" s="4">
        <v>388</v>
      </c>
      <c r="E15" s="68">
        <v>540</v>
      </c>
      <c r="F15" s="34" t="s">
        <v>1004</v>
      </c>
      <c r="G15" s="34" t="s">
        <v>268</v>
      </c>
    </row>
    <row r="16" spans="1:7" x14ac:dyDescent="0.3">
      <c r="A16" s="3" t="s">
        <v>38</v>
      </c>
      <c r="B16" s="4">
        <v>229</v>
      </c>
      <c r="C16" s="4">
        <v>1222</v>
      </c>
      <c r="D16" s="4">
        <v>1155</v>
      </c>
      <c r="E16" s="68">
        <v>67</v>
      </c>
      <c r="F16" s="44" t="s">
        <v>1005</v>
      </c>
      <c r="G16" s="44" t="s">
        <v>1003</v>
      </c>
    </row>
    <row r="17" spans="1:7" x14ac:dyDescent="0.3">
      <c r="A17" s="3" t="s">
        <v>39</v>
      </c>
      <c r="B17" s="4">
        <v>279</v>
      </c>
      <c r="C17" s="4">
        <v>466</v>
      </c>
      <c r="D17" s="4">
        <v>348</v>
      </c>
      <c r="E17" s="68">
        <v>118</v>
      </c>
      <c r="F17" s="44" t="s">
        <v>1006</v>
      </c>
      <c r="G17" s="44" t="s">
        <v>1003</v>
      </c>
    </row>
    <row r="18" spans="1:7" x14ac:dyDescent="0.3">
      <c r="A18" s="3" t="s">
        <v>40</v>
      </c>
      <c r="B18" s="4">
        <v>636</v>
      </c>
      <c r="C18" s="4">
        <v>824</v>
      </c>
      <c r="D18" s="4">
        <v>365</v>
      </c>
      <c r="E18" s="68">
        <v>459</v>
      </c>
      <c r="F18" s="9" t="s">
        <v>1007</v>
      </c>
      <c r="G18" s="9" t="s">
        <v>1008</v>
      </c>
    </row>
    <row r="20" spans="1:7" ht="21" thickBot="1" x14ac:dyDescent="0.4">
      <c r="A20" s="100" t="s">
        <v>1009</v>
      </c>
      <c r="B20" s="83"/>
      <c r="C20" s="83"/>
      <c r="D20" s="83"/>
      <c r="E20" s="83"/>
      <c r="F20" s="83"/>
      <c r="G20" s="83"/>
    </row>
    <row r="21" spans="1:7" x14ac:dyDescent="0.3">
      <c r="A21" s="109" t="s">
        <v>1010</v>
      </c>
      <c r="B21" s="75"/>
      <c r="C21" s="75"/>
      <c r="D21" s="75"/>
      <c r="E21" s="75"/>
      <c r="F21" s="75"/>
      <c r="G21" s="75"/>
    </row>
    <row r="22" spans="1:7" x14ac:dyDescent="0.3">
      <c r="A22" s="2" t="s">
        <v>20</v>
      </c>
      <c r="B22" s="2" t="s">
        <v>75</v>
      </c>
      <c r="C22" s="2" t="s">
        <v>998</v>
      </c>
      <c r="D22" s="2" t="s">
        <v>1011</v>
      </c>
      <c r="E22" s="2" t="s">
        <v>76</v>
      </c>
      <c r="F22" s="2" t="s">
        <v>1012</v>
      </c>
      <c r="G22" s="2" t="s">
        <v>224</v>
      </c>
    </row>
    <row r="23" spans="1:7" x14ac:dyDescent="0.3">
      <c r="A23" s="3" t="s">
        <v>36</v>
      </c>
      <c r="B23" s="4">
        <v>384</v>
      </c>
      <c r="C23" s="4">
        <v>195</v>
      </c>
      <c r="D23" s="6">
        <v>188</v>
      </c>
      <c r="E23" s="4">
        <v>4533</v>
      </c>
      <c r="F23" s="34" t="s">
        <v>753</v>
      </c>
      <c r="G23" s="34" t="s">
        <v>268</v>
      </c>
    </row>
    <row r="24" spans="1:7" x14ac:dyDescent="0.3">
      <c r="A24" s="3" t="s">
        <v>37</v>
      </c>
      <c r="B24" s="4">
        <v>395</v>
      </c>
      <c r="C24" s="4">
        <v>928</v>
      </c>
      <c r="D24" s="69">
        <v>-533</v>
      </c>
      <c r="E24" s="4">
        <v>5255</v>
      </c>
      <c r="F24" s="44" t="s">
        <v>1013</v>
      </c>
      <c r="G24" s="44" t="s">
        <v>1003</v>
      </c>
    </row>
    <row r="25" spans="1:7" x14ac:dyDescent="0.3">
      <c r="A25" s="3" t="s">
        <v>38</v>
      </c>
      <c r="B25" s="4">
        <v>229</v>
      </c>
      <c r="C25" s="4">
        <v>1222</v>
      </c>
      <c r="D25" s="69">
        <v>-993</v>
      </c>
      <c r="E25" s="4">
        <v>5388</v>
      </c>
      <c r="F25" s="44" t="s">
        <v>1014</v>
      </c>
      <c r="G25" s="44" t="s">
        <v>1003</v>
      </c>
    </row>
    <row r="26" spans="1:7" x14ac:dyDescent="0.3">
      <c r="A26" s="3" t="s">
        <v>39</v>
      </c>
      <c r="B26" s="4">
        <v>279</v>
      </c>
      <c r="C26" s="4">
        <v>466</v>
      </c>
      <c r="D26" s="69">
        <v>-188</v>
      </c>
      <c r="E26" s="4">
        <v>5356</v>
      </c>
      <c r="F26" s="34" t="s">
        <v>1015</v>
      </c>
      <c r="G26" s="34" t="s">
        <v>268</v>
      </c>
    </row>
    <row r="27" spans="1:7" x14ac:dyDescent="0.3">
      <c r="A27" s="3" t="s">
        <v>40</v>
      </c>
      <c r="B27" s="4">
        <v>636</v>
      </c>
      <c r="C27" s="4">
        <v>824</v>
      </c>
      <c r="D27" s="69">
        <v>-189</v>
      </c>
      <c r="E27" s="4">
        <v>5741</v>
      </c>
      <c r="F27" s="34" t="s">
        <v>1016</v>
      </c>
      <c r="G27" s="34" t="s">
        <v>268</v>
      </c>
    </row>
    <row r="29" spans="1:7" ht="21" thickBot="1" x14ac:dyDescent="0.4">
      <c r="A29" s="100" t="s">
        <v>1017</v>
      </c>
      <c r="B29" s="83"/>
      <c r="C29" s="83"/>
      <c r="D29" s="83"/>
      <c r="E29" s="83"/>
      <c r="F29" s="83"/>
      <c r="G29" s="83"/>
    </row>
    <row r="30" spans="1:7" x14ac:dyDescent="0.3">
      <c r="A30" s="2" t="s">
        <v>221</v>
      </c>
      <c r="B30" s="2" t="s">
        <v>223</v>
      </c>
      <c r="C30" s="2" t="s">
        <v>224</v>
      </c>
      <c r="D30" s="2" t="s">
        <v>344</v>
      </c>
      <c r="E30" s="2"/>
      <c r="F30" s="2"/>
      <c r="G30" s="2"/>
    </row>
    <row r="31" spans="1:7" ht="27" x14ac:dyDescent="0.3">
      <c r="A31" s="30" t="s">
        <v>1018</v>
      </c>
      <c r="B31" s="35" t="s">
        <v>1019</v>
      </c>
      <c r="C31" s="8"/>
      <c r="D31" s="15"/>
      <c r="E31" s="8"/>
      <c r="F31" s="8"/>
      <c r="G31" s="8"/>
    </row>
    <row r="32" spans="1:7" ht="27" x14ac:dyDescent="0.3">
      <c r="A32" s="30" t="s">
        <v>1020</v>
      </c>
      <c r="B32" s="21" t="s">
        <v>1021</v>
      </c>
      <c r="C32" s="8"/>
      <c r="D32" s="15"/>
      <c r="E32" s="8"/>
      <c r="F32" s="8"/>
      <c r="G32" s="8"/>
    </row>
    <row r="33" spans="1:7" ht="36" x14ac:dyDescent="0.3">
      <c r="A33" s="30" t="s">
        <v>1022</v>
      </c>
      <c r="B33" s="44" t="s">
        <v>1023</v>
      </c>
      <c r="C33" s="44" t="s">
        <v>1024</v>
      </c>
      <c r="D33" s="25" t="s">
        <v>1025</v>
      </c>
      <c r="E33" s="8"/>
      <c r="F33" s="8"/>
      <c r="G33" s="8"/>
    </row>
    <row r="35" spans="1:7" ht="21" thickBot="1" x14ac:dyDescent="0.4">
      <c r="A35" s="100" t="s">
        <v>1026</v>
      </c>
      <c r="B35" s="83"/>
      <c r="C35" s="83"/>
      <c r="D35" s="83"/>
      <c r="E35" s="83"/>
      <c r="F35" s="83"/>
      <c r="G35" s="83"/>
    </row>
    <row r="36" spans="1:7" x14ac:dyDescent="0.3">
      <c r="A36" s="30" t="s">
        <v>1027</v>
      </c>
      <c r="B36" s="85" t="s">
        <v>1028</v>
      </c>
      <c r="C36" s="86"/>
      <c r="D36" s="86"/>
      <c r="E36" s="86"/>
      <c r="F36" s="86"/>
      <c r="G36" s="86"/>
    </row>
    <row r="37" spans="1:7" x14ac:dyDescent="0.3">
      <c r="A37" s="30" t="s">
        <v>1029</v>
      </c>
      <c r="B37" s="85" t="s">
        <v>1030</v>
      </c>
      <c r="C37" s="86"/>
      <c r="D37" s="86"/>
      <c r="E37" s="86"/>
      <c r="F37" s="86"/>
      <c r="G37" s="86"/>
    </row>
    <row r="38" spans="1:7" x14ac:dyDescent="0.3">
      <c r="A38" s="30" t="s">
        <v>1031</v>
      </c>
      <c r="B38" s="85" t="s">
        <v>1032</v>
      </c>
      <c r="C38" s="86"/>
      <c r="D38" s="86"/>
      <c r="E38" s="86"/>
      <c r="F38" s="86"/>
      <c r="G38" s="86"/>
    </row>
    <row r="39" spans="1:7" x14ac:dyDescent="0.3">
      <c r="A39" s="30" t="s">
        <v>1033</v>
      </c>
      <c r="B39" s="85" t="s">
        <v>1034</v>
      </c>
      <c r="C39" s="86"/>
      <c r="D39" s="86"/>
      <c r="E39" s="86"/>
      <c r="F39" s="86"/>
      <c r="G39" s="86"/>
    </row>
    <row r="40" spans="1:7" x14ac:dyDescent="0.3">
      <c r="A40" s="30" t="s">
        <v>780</v>
      </c>
      <c r="B40" s="85" t="s">
        <v>1035</v>
      </c>
      <c r="C40" s="86"/>
      <c r="D40" s="86"/>
      <c r="E40" s="86"/>
      <c r="F40" s="86"/>
      <c r="G40" s="86"/>
    </row>
  </sheetData>
  <mergeCells count="13">
    <mergeCell ref="A2:G2"/>
    <mergeCell ref="A10:G10"/>
    <mergeCell ref="B39:G39"/>
    <mergeCell ref="B38:G38"/>
    <mergeCell ref="A1:G1"/>
    <mergeCell ref="B37:G37"/>
    <mergeCell ref="A12:G12"/>
    <mergeCell ref="B36:G36"/>
    <mergeCell ref="A21:G21"/>
    <mergeCell ref="B40:G40"/>
    <mergeCell ref="A29:G29"/>
    <mergeCell ref="A35:G35"/>
    <mergeCell ref="A20:G20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980B9"/>
    <pageSetUpPr fitToPage="1"/>
  </sheetPr>
  <dimension ref="A1:H42"/>
  <sheetViews>
    <sheetView topLeftCell="A26" workbookViewId="0">
      <selection activeCell="F20" sqref="F20"/>
    </sheetView>
  </sheetViews>
  <sheetFormatPr defaultRowHeight="16.5" x14ac:dyDescent="0.3"/>
  <cols>
    <col min="1" max="1" width="22" customWidth="1"/>
    <col min="2" max="3" width="16" customWidth="1"/>
    <col min="4" max="4" width="19.5" customWidth="1"/>
    <col min="5" max="8" width="16" customWidth="1"/>
  </cols>
  <sheetData>
    <row r="1" spans="1:8" ht="20.25" x14ac:dyDescent="0.35">
      <c r="A1" s="100" t="s">
        <v>1036</v>
      </c>
      <c r="B1" s="83"/>
      <c r="C1" s="83"/>
      <c r="D1" s="83"/>
      <c r="E1" s="83"/>
      <c r="F1" s="83"/>
      <c r="G1" s="83"/>
      <c r="H1" s="83"/>
    </row>
    <row r="2" spans="1:8" ht="20.25" x14ac:dyDescent="0.35">
      <c r="A2" s="100" t="s">
        <v>1037</v>
      </c>
      <c r="B2" s="83"/>
      <c r="C2" s="83"/>
      <c r="D2" s="83"/>
      <c r="E2" s="83"/>
      <c r="F2" s="83"/>
      <c r="G2" s="83"/>
      <c r="H2" s="83"/>
    </row>
    <row r="3" spans="1:8" x14ac:dyDescent="0.3">
      <c r="A3" s="2" t="s">
        <v>419</v>
      </c>
      <c r="B3" s="2" t="s">
        <v>434</v>
      </c>
      <c r="C3" s="2" t="s">
        <v>1038</v>
      </c>
      <c r="D3" s="2" t="s">
        <v>88</v>
      </c>
      <c r="E3" s="2"/>
      <c r="F3" s="2"/>
      <c r="G3" s="2"/>
      <c r="H3" s="2"/>
    </row>
    <row r="4" spans="1:8" ht="17.25" customHeight="1" x14ac:dyDescent="0.3">
      <c r="A4" s="27" t="s">
        <v>23</v>
      </c>
      <c r="B4" s="21" t="s">
        <v>1039</v>
      </c>
      <c r="C4" s="25" t="s">
        <v>1040</v>
      </c>
      <c r="D4" s="15"/>
      <c r="E4" s="8"/>
      <c r="F4" s="8"/>
      <c r="G4" s="8"/>
      <c r="H4" s="8"/>
    </row>
    <row r="5" spans="1:8" ht="17.25" customHeight="1" x14ac:dyDescent="0.3">
      <c r="A5" s="27" t="s">
        <v>436</v>
      </c>
      <c r="B5" s="21" t="s">
        <v>1041</v>
      </c>
      <c r="C5" s="25" t="s">
        <v>1042</v>
      </c>
      <c r="D5" s="15" t="s">
        <v>1043</v>
      </c>
      <c r="E5" s="8"/>
      <c r="F5" s="8"/>
      <c r="G5" s="8"/>
      <c r="H5" s="8"/>
    </row>
    <row r="6" spans="1:8" ht="17.25" customHeight="1" x14ac:dyDescent="0.3">
      <c r="A6" s="27" t="s">
        <v>464</v>
      </c>
      <c r="B6" s="21" t="s">
        <v>465</v>
      </c>
      <c r="C6" s="25" t="s">
        <v>1044</v>
      </c>
      <c r="D6" s="15" t="s">
        <v>1045</v>
      </c>
      <c r="E6" s="8"/>
      <c r="F6" s="8"/>
      <c r="G6" s="8"/>
      <c r="H6" s="8"/>
    </row>
    <row r="7" spans="1:8" ht="17.25" customHeight="1" x14ac:dyDescent="0.3">
      <c r="A7" s="18" t="s">
        <v>1046</v>
      </c>
      <c r="B7" s="35" t="s">
        <v>1047</v>
      </c>
      <c r="C7" s="25" t="s">
        <v>1048</v>
      </c>
      <c r="D7" s="15" t="s">
        <v>1049</v>
      </c>
      <c r="E7" s="8"/>
      <c r="F7" s="8"/>
      <c r="G7" s="8"/>
      <c r="H7" s="8"/>
    </row>
    <row r="9" spans="1:8" x14ac:dyDescent="0.3">
      <c r="A9" s="105" t="s">
        <v>1050</v>
      </c>
      <c r="B9" s="86"/>
      <c r="C9" s="86"/>
      <c r="D9" s="86"/>
      <c r="E9" s="86"/>
      <c r="F9" s="86"/>
      <c r="G9" s="86"/>
      <c r="H9" s="87"/>
    </row>
    <row r="11" spans="1:8" ht="20.25" x14ac:dyDescent="0.35">
      <c r="A11" s="100" t="s">
        <v>1051</v>
      </c>
      <c r="B11" s="83"/>
      <c r="C11" s="83"/>
      <c r="D11" s="83"/>
      <c r="E11" s="83"/>
      <c r="F11" s="83"/>
      <c r="G11" s="83"/>
      <c r="H11" s="83"/>
    </row>
    <row r="12" spans="1:8" x14ac:dyDescent="0.3">
      <c r="A12" s="2" t="s">
        <v>221</v>
      </c>
      <c r="B12" s="2" t="s">
        <v>223</v>
      </c>
      <c r="C12" s="2" t="s">
        <v>224</v>
      </c>
      <c r="D12" s="2"/>
      <c r="E12" s="2"/>
      <c r="F12" s="2"/>
      <c r="G12" s="2"/>
      <c r="H12" s="2"/>
    </row>
    <row r="13" spans="1:8" x14ac:dyDescent="0.3">
      <c r="A13" s="30" t="s">
        <v>1052</v>
      </c>
      <c r="B13" s="35" t="s">
        <v>212</v>
      </c>
      <c r="C13" s="8"/>
      <c r="D13" s="8"/>
      <c r="E13" s="8"/>
      <c r="F13" s="8"/>
      <c r="G13" s="8"/>
      <c r="H13" s="8"/>
    </row>
    <row r="14" spans="1:8" x14ac:dyDescent="0.3">
      <c r="A14" s="30" t="s">
        <v>1053</v>
      </c>
      <c r="B14" s="35" t="s">
        <v>248</v>
      </c>
      <c r="C14" s="8" t="s">
        <v>244</v>
      </c>
      <c r="D14" s="8"/>
      <c r="E14" s="8"/>
      <c r="F14" s="8"/>
      <c r="G14" s="8"/>
      <c r="H14" s="8"/>
    </row>
    <row r="15" spans="1:8" x14ac:dyDescent="0.3">
      <c r="A15" s="30" t="s">
        <v>1054</v>
      </c>
      <c r="B15" s="35" t="s">
        <v>1055</v>
      </c>
      <c r="C15" s="8"/>
      <c r="D15" s="8"/>
      <c r="E15" s="8"/>
      <c r="F15" s="8"/>
      <c r="G15" s="8"/>
      <c r="H15" s="8"/>
    </row>
    <row r="16" spans="1:8" x14ac:dyDescent="0.3">
      <c r="A16" s="30" t="s">
        <v>1056</v>
      </c>
      <c r="B16" s="35" t="s">
        <v>212</v>
      </c>
      <c r="C16" s="8"/>
      <c r="D16" s="8"/>
      <c r="E16" s="8"/>
      <c r="F16" s="8"/>
      <c r="G16" s="8"/>
      <c r="H16" s="8"/>
    </row>
    <row r="17" spans="1:8" x14ac:dyDescent="0.3">
      <c r="A17" s="30" t="s">
        <v>1057</v>
      </c>
      <c r="B17" s="35" t="s">
        <v>388</v>
      </c>
      <c r="C17" s="8"/>
      <c r="D17" s="8"/>
      <c r="E17" s="8"/>
      <c r="F17" s="8"/>
      <c r="G17" s="8"/>
      <c r="H17" s="8"/>
    </row>
    <row r="19" spans="1:8" ht="20.25" x14ac:dyDescent="0.35">
      <c r="A19" s="100" t="s">
        <v>1058</v>
      </c>
      <c r="B19" s="83"/>
      <c r="C19" s="83"/>
      <c r="D19" s="83"/>
      <c r="E19" s="83"/>
      <c r="F19" s="83"/>
      <c r="G19" s="83"/>
      <c r="H19" s="83"/>
    </row>
    <row r="20" spans="1:8" x14ac:dyDescent="0.3">
      <c r="A20" s="2" t="s">
        <v>20</v>
      </c>
      <c r="B20" s="2" t="s">
        <v>24</v>
      </c>
      <c r="C20" s="2" t="s">
        <v>1059</v>
      </c>
      <c r="D20" s="2" t="s">
        <v>366</v>
      </c>
      <c r="E20" s="2" t="s">
        <v>1060</v>
      </c>
      <c r="F20" s="2" t="s">
        <v>30</v>
      </c>
      <c r="G20" s="2"/>
      <c r="H20" s="2"/>
    </row>
    <row r="21" spans="1:8" x14ac:dyDescent="0.3">
      <c r="A21" s="3" t="s">
        <v>35</v>
      </c>
      <c r="B21" s="70" t="s">
        <v>369</v>
      </c>
      <c r="C21" s="8" t="s">
        <v>1061</v>
      </c>
      <c r="D21" s="21" t="s">
        <v>367</v>
      </c>
      <c r="E21" s="8" t="s">
        <v>1062</v>
      </c>
      <c r="F21" s="17" t="s">
        <v>368</v>
      </c>
      <c r="G21" s="8"/>
      <c r="H21" s="8"/>
    </row>
    <row r="22" spans="1:8" x14ac:dyDescent="0.3">
      <c r="A22" s="3" t="s">
        <v>36</v>
      </c>
      <c r="B22" s="70" t="s">
        <v>372</v>
      </c>
      <c r="C22" s="8" t="s">
        <v>1063</v>
      </c>
      <c r="D22" s="21" t="s">
        <v>370</v>
      </c>
      <c r="E22" s="8" t="s">
        <v>1064</v>
      </c>
      <c r="F22" s="17" t="s">
        <v>981</v>
      </c>
      <c r="G22" s="8"/>
      <c r="H22" s="8"/>
    </row>
    <row r="23" spans="1:8" x14ac:dyDescent="0.3">
      <c r="A23" s="3" t="s">
        <v>37</v>
      </c>
      <c r="B23" s="70" t="s">
        <v>375</v>
      </c>
      <c r="C23" s="8" t="s">
        <v>1065</v>
      </c>
      <c r="D23" s="21" t="s">
        <v>373</v>
      </c>
      <c r="E23" s="8" t="s">
        <v>1066</v>
      </c>
      <c r="F23" s="17" t="s">
        <v>985</v>
      </c>
      <c r="G23" s="8"/>
      <c r="H23" s="8"/>
    </row>
    <row r="24" spans="1:8" x14ac:dyDescent="0.3">
      <c r="A24" s="3" t="s">
        <v>38</v>
      </c>
      <c r="B24" s="70" t="s">
        <v>378</v>
      </c>
      <c r="C24" s="8" t="s">
        <v>1067</v>
      </c>
      <c r="D24" s="21" t="s">
        <v>376</v>
      </c>
      <c r="E24" s="8" t="s">
        <v>1068</v>
      </c>
      <c r="F24" s="8" t="s">
        <v>989</v>
      </c>
      <c r="G24" s="8"/>
      <c r="H24" s="8"/>
    </row>
    <row r="25" spans="1:8" x14ac:dyDescent="0.3">
      <c r="A25" s="3" t="s">
        <v>39</v>
      </c>
      <c r="B25" s="70" t="s">
        <v>381</v>
      </c>
      <c r="C25" s="8" t="s">
        <v>1069</v>
      </c>
      <c r="D25" s="21" t="s">
        <v>379</v>
      </c>
      <c r="E25" s="8" t="s">
        <v>1070</v>
      </c>
      <c r="F25" s="8" t="s">
        <v>993</v>
      </c>
      <c r="G25" s="8"/>
      <c r="H25" s="8"/>
    </row>
    <row r="26" spans="1:8" x14ac:dyDescent="0.3">
      <c r="A26" s="3" t="s">
        <v>40</v>
      </c>
      <c r="B26" s="70" t="s">
        <v>286</v>
      </c>
      <c r="C26" s="8" t="s">
        <v>228</v>
      </c>
      <c r="D26" s="21" t="s">
        <v>382</v>
      </c>
      <c r="E26" s="8" t="s">
        <v>248</v>
      </c>
      <c r="F26" s="17" t="s">
        <v>94</v>
      </c>
      <c r="G26" s="8"/>
      <c r="H26" s="8"/>
    </row>
    <row r="28" spans="1:8" ht="20.25" x14ac:dyDescent="0.35">
      <c r="A28" s="100" t="s">
        <v>1071</v>
      </c>
      <c r="B28" s="83"/>
      <c r="C28" s="83"/>
      <c r="D28" s="83"/>
      <c r="E28" s="83"/>
      <c r="F28" s="83"/>
      <c r="G28" s="83"/>
      <c r="H28" s="83"/>
    </row>
    <row r="29" spans="1:8" x14ac:dyDescent="0.3">
      <c r="A29" s="2" t="s">
        <v>393</v>
      </c>
      <c r="B29" s="2" t="s">
        <v>480</v>
      </c>
      <c r="C29" s="2" t="s">
        <v>1072</v>
      </c>
      <c r="D29" s="2" t="s">
        <v>398</v>
      </c>
      <c r="E29" s="2" t="s">
        <v>1073</v>
      </c>
      <c r="F29" s="2"/>
      <c r="G29" s="2"/>
      <c r="H29" s="2"/>
    </row>
    <row r="30" spans="1:8" x14ac:dyDescent="0.3">
      <c r="A30" s="52" t="s">
        <v>481</v>
      </c>
      <c r="B30" s="15" t="s">
        <v>1074</v>
      </c>
      <c r="C30" s="35" t="s">
        <v>1075</v>
      </c>
      <c r="D30" s="44" t="s">
        <v>1076</v>
      </c>
      <c r="E30" s="25" t="s">
        <v>1077</v>
      </c>
      <c r="F30" s="8"/>
      <c r="G30" s="8"/>
      <c r="H30" s="8"/>
    </row>
    <row r="31" spans="1:8" x14ac:dyDescent="0.3">
      <c r="A31" s="52" t="s">
        <v>481</v>
      </c>
      <c r="B31" s="15" t="s">
        <v>1078</v>
      </c>
      <c r="C31" s="35" t="s">
        <v>1055</v>
      </c>
      <c r="D31" s="44" t="s">
        <v>1079</v>
      </c>
      <c r="E31" s="25" t="s">
        <v>1080</v>
      </c>
      <c r="F31" s="8"/>
      <c r="G31" s="8"/>
      <c r="H31" s="8"/>
    </row>
    <row r="32" spans="1:8" x14ac:dyDescent="0.3">
      <c r="A32" s="9" t="s">
        <v>482</v>
      </c>
      <c r="B32" s="15" t="s">
        <v>1081</v>
      </c>
      <c r="C32" s="35" t="s">
        <v>355</v>
      </c>
      <c r="D32" s="34" t="s">
        <v>1082</v>
      </c>
      <c r="E32" s="25" t="s">
        <v>1083</v>
      </c>
      <c r="F32" s="8"/>
      <c r="G32" s="8"/>
      <c r="H32" s="8"/>
    </row>
    <row r="33" spans="1:8" x14ac:dyDescent="0.3">
      <c r="A33" s="9" t="s">
        <v>482</v>
      </c>
      <c r="B33" s="15" t="s">
        <v>1084</v>
      </c>
      <c r="C33" s="35" t="s">
        <v>405</v>
      </c>
      <c r="D33" s="44" t="s">
        <v>406</v>
      </c>
      <c r="E33" s="25" t="s">
        <v>1085</v>
      </c>
      <c r="F33" s="8"/>
      <c r="G33" s="8"/>
      <c r="H33" s="8"/>
    </row>
    <row r="34" spans="1:8" x14ac:dyDescent="0.3">
      <c r="A34" s="40" t="s">
        <v>1086</v>
      </c>
      <c r="B34" s="15" t="s">
        <v>1087</v>
      </c>
      <c r="C34" s="35" t="s">
        <v>356</v>
      </c>
      <c r="D34" s="34" t="s">
        <v>1088</v>
      </c>
      <c r="E34" s="25" t="s">
        <v>1089</v>
      </c>
      <c r="F34" s="8"/>
      <c r="G34" s="8"/>
      <c r="H34" s="8"/>
    </row>
    <row r="35" spans="1:8" x14ac:dyDescent="0.3">
      <c r="A35" s="40" t="s">
        <v>1086</v>
      </c>
      <c r="B35" s="15" t="s">
        <v>1090</v>
      </c>
      <c r="C35" s="35" t="s">
        <v>1091</v>
      </c>
      <c r="D35" s="34" t="s">
        <v>1092</v>
      </c>
      <c r="E35" s="25" t="s">
        <v>1093</v>
      </c>
      <c r="F35" s="8"/>
      <c r="G35" s="8"/>
      <c r="H35" s="8"/>
    </row>
    <row r="37" spans="1:8" ht="20.25" x14ac:dyDescent="0.35">
      <c r="A37" s="100" t="s">
        <v>1094</v>
      </c>
      <c r="B37" s="83"/>
      <c r="C37" s="83"/>
      <c r="D37" s="83"/>
      <c r="E37" s="83"/>
      <c r="F37" s="83"/>
      <c r="G37" s="83"/>
      <c r="H37" s="83"/>
    </row>
    <row r="38" spans="1:8" x14ac:dyDescent="0.3">
      <c r="A38" s="30" t="s">
        <v>1095</v>
      </c>
      <c r="B38" s="35" t="s">
        <v>1096</v>
      </c>
      <c r="C38" s="44" t="s">
        <v>1097</v>
      </c>
      <c r="D38" s="44" t="s">
        <v>1098</v>
      </c>
      <c r="E38" s="25" t="s">
        <v>1099</v>
      </c>
      <c r="F38" s="8"/>
      <c r="G38" s="8"/>
      <c r="H38" s="8"/>
    </row>
    <row r="39" spans="1:8" x14ac:dyDescent="0.3">
      <c r="A39" s="30" t="s">
        <v>1100</v>
      </c>
      <c r="B39" s="35" t="s">
        <v>1101</v>
      </c>
      <c r="C39" s="51" t="s">
        <v>1102</v>
      </c>
      <c r="D39" s="51" t="s">
        <v>244</v>
      </c>
      <c r="E39" s="25" t="s">
        <v>1099</v>
      </c>
      <c r="F39" s="8"/>
      <c r="G39" s="8"/>
      <c r="H39" s="8"/>
    </row>
    <row r="40" spans="1:8" x14ac:dyDescent="0.3">
      <c r="A40" s="30" t="s">
        <v>1103</v>
      </c>
      <c r="B40" s="35" t="s">
        <v>1104</v>
      </c>
      <c r="C40" s="34" t="s">
        <v>1105</v>
      </c>
      <c r="D40" s="34" t="s">
        <v>1106</v>
      </c>
      <c r="E40" s="25" t="s">
        <v>1099</v>
      </c>
      <c r="F40" s="8"/>
      <c r="G40" s="8"/>
      <c r="H40" s="8"/>
    </row>
    <row r="42" spans="1:8" x14ac:dyDescent="0.3">
      <c r="A42" s="105" t="s">
        <v>1107</v>
      </c>
      <c r="B42" s="86"/>
      <c r="C42" s="86"/>
      <c r="D42" s="86"/>
      <c r="E42" s="86"/>
      <c r="F42" s="86"/>
      <c r="G42" s="86"/>
      <c r="H42" s="87"/>
    </row>
  </sheetData>
  <mergeCells count="8">
    <mergeCell ref="A1:H1"/>
    <mergeCell ref="A37:H37"/>
    <mergeCell ref="A9:H9"/>
    <mergeCell ref="A2:H2"/>
    <mergeCell ref="A28:H28"/>
    <mergeCell ref="A42:H42"/>
    <mergeCell ref="A19:H19"/>
    <mergeCell ref="A11:H11"/>
  </mergeCells>
  <phoneticPr fontId="32" type="noConversion"/>
  <printOptions horizontalCentered="1"/>
  <pageMargins left="0.25" right="0.25" top="0.75" bottom="0.75" header="0.3" footer="0.3"/>
  <pageSetup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ABC9C"/>
    <pageSetUpPr fitToPage="1"/>
  </sheetPr>
  <dimension ref="A1:G49"/>
  <sheetViews>
    <sheetView topLeftCell="A18" workbookViewId="0">
      <selection activeCell="A4" sqref="A4:XFD4"/>
    </sheetView>
  </sheetViews>
  <sheetFormatPr defaultRowHeight="16.5" x14ac:dyDescent="0.3"/>
  <cols>
    <col min="1" max="1" width="22" customWidth="1"/>
    <col min="2" max="7" width="16" customWidth="1"/>
  </cols>
  <sheetData>
    <row r="1" spans="1:7" x14ac:dyDescent="0.3">
      <c r="A1" s="118" t="s">
        <v>1108</v>
      </c>
      <c r="B1" s="118"/>
      <c r="C1" s="118"/>
      <c r="D1" s="118"/>
      <c r="E1" s="118"/>
      <c r="F1" s="118"/>
      <c r="G1" s="118"/>
    </row>
    <row r="2" spans="1:7" ht="16.5" customHeight="1" x14ac:dyDescent="0.3">
      <c r="A2" s="118"/>
      <c r="B2" s="118"/>
      <c r="C2" s="118"/>
      <c r="D2" s="118"/>
      <c r="E2" s="118"/>
      <c r="F2" s="118"/>
      <c r="G2" s="118"/>
    </row>
    <row r="3" spans="1:7" x14ac:dyDescent="0.3">
      <c r="A3" s="1"/>
      <c r="B3" s="1"/>
      <c r="C3" s="1"/>
      <c r="D3" s="1"/>
      <c r="E3" s="1"/>
      <c r="F3" s="1"/>
      <c r="G3" s="1"/>
    </row>
    <row r="5" spans="1:7" ht="21" thickBot="1" x14ac:dyDescent="0.4">
      <c r="A5" s="100" t="s">
        <v>1109</v>
      </c>
      <c r="B5" s="83"/>
      <c r="C5" s="83"/>
      <c r="D5" s="83"/>
      <c r="E5" s="83"/>
      <c r="F5" s="83"/>
      <c r="G5" s="83"/>
    </row>
    <row r="6" spans="1:7" x14ac:dyDescent="0.3">
      <c r="A6" s="117" t="s">
        <v>1110</v>
      </c>
      <c r="B6" s="112"/>
      <c r="C6" s="113"/>
      <c r="D6" s="111" t="s">
        <v>1111</v>
      </c>
      <c r="E6" s="112"/>
      <c r="F6" s="112"/>
      <c r="G6" s="112"/>
    </row>
    <row r="7" spans="1:7" x14ac:dyDescent="0.3">
      <c r="A7" s="114"/>
      <c r="B7" s="115"/>
      <c r="C7" s="116"/>
      <c r="D7" s="114"/>
      <c r="E7" s="115"/>
      <c r="F7" s="115"/>
      <c r="G7" s="115"/>
    </row>
    <row r="9" spans="1:7" ht="21" thickBot="1" x14ac:dyDescent="0.4">
      <c r="A9" s="100" t="s">
        <v>1112</v>
      </c>
      <c r="B9" s="83"/>
      <c r="C9" s="83"/>
      <c r="D9" s="83"/>
      <c r="E9" s="83"/>
      <c r="F9" s="83"/>
      <c r="G9" s="83"/>
    </row>
    <row r="10" spans="1:7" x14ac:dyDescent="0.3">
      <c r="A10" s="71" t="s">
        <v>1113</v>
      </c>
      <c r="B10" s="85" t="s">
        <v>1114</v>
      </c>
      <c r="C10" s="86"/>
      <c r="D10" s="86"/>
      <c r="E10" s="86"/>
      <c r="F10" s="86"/>
      <c r="G10" s="86"/>
    </row>
    <row r="11" spans="1:7" x14ac:dyDescent="0.3">
      <c r="A11" s="71" t="s">
        <v>1115</v>
      </c>
      <c r="B11" s="85" t="s">
        <v>1116</v>
      </c>
      <c r="C11" s="86"/>
      <c r="D11" s="86"/>
      <c r="E11" s="86"/>
      <c r="F11" s="86"/>
      <c r="G11" s="86"/>
    </row>
    <row r="12" spans="1:7" x14ac:dyDescent="0.3">
      <c r="A12" s="71" t="s">
        <v>1117</v>
      </c>
      <c r="B12" s="85" t="s">
        <v>1118</v>
      </c>
      <c r="C12" s="86"/>
      <c r="D12" s="86"/>
      <c r="E12" s="86"/>
      <c r="F12" s="86"/>
      <c r="G12" s="86"/>
    </row>
    <row r="13" spans="1:7" x14ac:dyDescent="0.3">
      <c r="A13" s="71" t="s">
        <v>1119</v>
      </c>
      <c r="B13" s="85" t="s">
        <v>1120</v>
      </c>
      <c r="C13" s="86"/>
      <c r="D13" s="86"/>
      <c r="E13" s="86"/>
      <c r="F13" s="86"/>
      <c r="G13" s="86"/>
    </row>
    <row r="14" spans="1:7" x14ac:dyDescent="0.3">
      <c r="A14" s="72" t="s">
        <v>1121</v>
      </c>
      <c r="B14" s="85" t="s">
        <v>1122</v>
      </c>
      <c r="C14" s="86"/>
      <c r="D14" s="86"/>
      <c r="E14" s="86"/>
      <c r="F14" s="86"/>
      <c r="G14" s="86"/>
    </row>
    <row r="15" spans="1:7" x14ac:dyDescent="0.3">
      <c r="A15" s="72" t="s">
        <v>1123</v>
      </c>
      <c r="B15" s="85" t="s">
        <v>1124</v>
      </c>
      <c r="C15" s="86"/>
      <c r="D15" s="86"/>
      <c r="E15" s="86"/>
      <c r="F15" s="86"/>
      <c r="G15" s="86"/>
    </row>
    <row r="16" spans="1:7" x14ac:dyDescent="0.3">
      <c r="A16" s="72" t="s">
        <v>1125</v>
      </c>
      <c r="B16" s="85" t="s">
        <v>1126</v>
      </c>
      <c r="C16" s="86"/>
      <c r="D16" s="86"/>
      <c r="E16" s="86"/>
      <c r="F16" s="86"/>
      <c r="G16" s="86"/>
    </row>
    <row r="18" spans="1:7" ht="21" thickBot="1" x14ac:dyDescent="0.4">
      <c r="A18" s="100" t="s">
        <v>1127</v>
      </c>
      <c r="B18" s="83"/>
      <c r="C18" s="83"/>
      <c r="D18" s="83"/>
      <c r="E18" s="83"/>
      <c r="F18" s="83"/>
      <c r="G18" s="83"/>
    </row>
    <row r="19" spans="1:7" x14ac:dyDescent="0.3">
      <c r="A19" s="99" t="s">
        <v>1128</v>
      </c>
      <c r="B19" s="75"/>
      <c r="C19" s="75"/>
      <c r="D19" s="75"/>
      <c r="E19" s="96" t="s">
        <v>1129</v>
      </c>
      <c r="F19" s="75"/>
      <c r="G19" s="75"/>
    </row>
    <row r="20" spans="1:7" x14ac:dyDescent="0.3">
      <c r="A20" s="92" t="s">
        <v>1130</v>
      </c>
      <c r="B20" s="86"/>
      <c r="C20" s="86"/>
      <c r="D20" s="87"/>
      <c r="E20" s="94" t="s">
        <v>1131</v>
      </c>
      <c r="F20" s="86"/>
      <c r="G20" s="86"/>
    </row>
    <row r="21" spans="1:7" x14ac:dyDescent="0.3">
      <c r="A21" s="92" t="s">
        <v>1132</v>
      </c>
      <c r="B21" s="86"/>
      <c r="C21" s="86"/>
      <c r="D21" s="87"/>
      <c r="E21" s="94" t="s">
        <v>1133</v>
      </c>
      <c r="F21" s="86"/>
      <c r="G21" s="86"/>
    </row>
    <row r="22" spans="1:7" x14ac:dyDescent="0.3">
      <c r="A22" s="92" t="s">
        <v>1134</v>
      </c>
      <c r="B22" s="86"/>
      <c r="C22" s="86"/>
      <c r="D22" s="87"/>
      <c r="E22" s="94" t="s">
        <v>1135</v>
      </c>
      <c r="F22" s="86"/>
      <c r="G22" s="86"/>
    </row>
    <row r="23" spans="1:7" x14ac:dyDescent="0.3">
      <c r="A23" s="92" t="s">
        <v>1136</v>
      </c>
      <c r="B23" s="86"/>
      <c r="C23" s="86"/>
      <c r="D23" s="87"/>
      <c r="E23" s="94" t="s">
        <v>1137</v>
      </c>
      <c r="F23" s="86"/>
      <c r="G23" s="86"/>
    </row>
    <row r="25" spans="1:7" x14ac:dyDescent="0.3">
      <c r="A25" s="97" t="s">
        <v>1138</v>
      </c>
      <c r="B25" s="75"/>
      <c r="C25" s="75"/>
      <c r="D25" s="75"/>
      <c r="E25" s="98" t="s">
        <v>1139</v>
      </c>
      <c r="F25" s="75"/>
      <c r="G25" s="75"/>
    </row>
    <row r="26" spans="1:7" x14ac:dyDescent="0.3">
      <c r="A26" s="93" t="s">
        <v>1140</v>
      </c>
      <c r="B26" s="86"/>
      <c r="C26" s="86"/>
      <c r="D26" s="87"/>
      <c r="E26" s="95" t="s">
        <v>1141</v>
      </c>
      <c r="F26" s="86"/>
      <c r="G26" s="86"/>
    </row>
    <row r="27" spans="1:7" x14ac:dyDescent="0.3">
      <c r="A27" s="93" t="s">
        <v>1142</v>
      </c>
      <c r="B27" s="86"/>
      <c r="C27" s="86"/>
      <c r="D27" s="87"/>
      <c r="E27" s="95" t="s">
        <v>1143</v>
      </c>
      <c r="F27" s="86"/>
      <c r="G27" s="86"/>
    </row>
    <row r="28" spans="1:7" x14ac:dyDescent="0.3">
      <c r="A28" s="93" t="s">
        <v>1144</v>
      </c>
      <c r="B28" s="86"/>
      <c r="C28" s="86"/>
      <c r="D28" s="87"/>
      <c r="E28" s="95" t="s">
        <v>1145</v>
      </c>
      <c r="F28" s="86"/>
      <c r="G28" s="86"/>
    </row>
    <row r="29" spans="1:7" x14ac:dyDescent="0.3">
      <c r="A29" s="93" t="s">
        <v>1146</v>
      </c>
      <c r="B29" s="86"/>
      <c r="C29" s="86"/>
      <c r="D29" s="87"/>
      <c r="E29" s="95" t="s">
        <v>1147</v>
      </c>
      <c r="F29" s="86"/>
      <c r="G29" s="86"/>
    </row>
    <row r="31" spans="1:7" ht="21" thickBot="1" x14ac:dyDescent="0.4">
      <c r="A31" s="100" t="s">
        <v>1148</v>
      </c>
      <c r="B31" s="83"/>
      <c r="C31" s="83"/>
      <c r="D31" s="83"/>
      <c r="E31" s="83"/>
      <c r="F31" s="83"/>
      <c r="G31" s="83"/>
    </row>
    <row r="32" spans="1:7" x14ac:dyDescent="0.3">
      <c r="A32" s="2" t="s">
        <v>548</v>
      </c>
      <c r="B32" s="2" t="s">
        <v>221</v>
      </c>
      <c r="C32" s="2" t="s">
        <v>549</v>
      </c>
      <c r="D32" s="2" t="s">
        <v>550</v>
      </c>
      <c r="E32" s="2" t="s">
        <v>1149</v>
      </c>
      <c r="F32" s="2"/>
      <c r="G32" s="2"/>
    </row>
    <row r="33" spans="1:7" ht="39.950000000000003" customHeight="1" x14ac:dyDescent="0.3">
      <c r="A33" s="73" t="s">
        <v>551</v>
      </c>
      <c r="B33" s="30" t="s">
        <v>1150</v>
      </c>
      <c r="C33" s="15" t="s">
        <v>1151</v>
      </c>
      <c r="D33" s="60" t="s">
        <v>554</v>
      </c>
      <c r="E33" s="25" t="s">
        <v>1152</v>
      </c>
      <c r="F33" s="8"/>
      <c r="G33" s="8"/>
    </row>
    <row r="34" spans="1:7" ht="39.950000000000003" customHeight="1" x14ac:dyDescent="0.3">
      <c r="A34" s="73" t="s">
        <v>555</v>
      </c>
      <c r="B34" s="30" t="s">
        <v>1153</v>
      </c>
      <c r="C34" s="15" t="s">
        <v>1154</v>
      </c>
      <c r="D34" s="60" t="s">
        <v>558</v>
      </c>
      <c r="E34" s="25" t="s">
        <v>1155</v>
      </c>
      <c r="F34" s="8"/>
      <c r="G34" s="8"/>
    </row>
    <row r="35" spans="1:7" ht="39.950000000000003" customHeight="1" x14ac:dyDescent="0.3">
      <c r="A35" s="73" t="s">
        <v>559</v>
      </c>
      <c r="B35" s="30" t="s">
        <v>1156</v>
      </c>
      <c r="C35" s="15" t="s">
        <v>1157</v>
      </c>
      <c r="D35" s="60" t="s">
        <v>1158</v>
      </c>
      <c r="E35" s="25" t="s">
        <v>1159</v>
      </c>
      <c r="F35" s="8"/>
      <c r="G35" s="8"/>
    </row>
    <row r="36" spans="1:7" ht="39.950000000000003" customHeight="1" x14ac:dyDescent="0.3">
      <c r="A36" s="73" t="s">
        <v>440</v>
      </c>
      <c r="B36" s="30" t="s">
        <v>1160</v>
      </c>
      <c r="C36" s="15" t="s">
        <v>1161</v>
      </c>
      <c r="D36" s="60" t="s">
        <v>569</v>
      </c>
      <c r="E36" s="25" t="s">
        <v>1162</v>
      </c>
      <c r="F36" s="8"/>
      <c r="G36" s="8"/>
    </row>
    <row r="37" spans="1:7" ht="39.950000000000003" customHeight="1" x14ac:dyDescent="0.3">
      <c r="A37" s="73" t="s">
        <v>566</v>
      </c>
      <c r="B37" s="30" t="s">
        <v>1163</v>
      </c>
      <c r="C37" s="15" t="s">
        <v>1164</v>
      </c>
      <c r="D37" s="60" t="s">
        <v>1165</v>
      </c>
      <c r="E37" s="25" t="s">
        <v>1166</v>
      </c>
      <c r="F37" s="8"/>
      <c r="G37" s="8"/>
    </row>
    <row r="39" spans="1:7" ht="21" thickBot="1" x14ac:dyDescent="0.4">
      <c r="A39" s="100" t="s">
        <v>1167</v>
      </c>
      <c r="B39" s="83"/>
      <c r="C39" s="83"/>
      <c r="D39" s="83"/>
      <c r="E39" s="83"/>
      <c r="F39" s="83"/>
      <c r="G39" s="83"/>
    </row>
    <row r="40" spans="1:7" x14ac:dyDescent="0.3">
      <c r="A40" s="94" t="s">
        <v>1168</v>
      </c>
      <c r="B40" s="86"/>
      <c r="C40" s="86"/>
      <c r="D40" s="86"/>
      <c r="E40" s="87"/>
      <c r="F40" s="107" t="s">
        <v>1169</v>
      </c>
      <c r="G40" s="86"/>
    </row>
    <row r="41" spans="1:7" x14ac:dyDescent="0.3">
      <c r="A41" s="94" t="s">
        <v>1170</v>
      </c>
      <c r="B41" s="86"/>
      <c r="C41" s="86"/>
      <c r="D41" s="86"/>
      <c r="E41" s="87"/>
      <c r="F41" s="107" t="s">
        <v>1171</v>
      </c>
      <c r="G41" s="86"/>
    </row>
    <row r="42" spans="1:7" x14ac:dyDescent="0.3">
      <c r="A42" s="94" t="s">
        <v>1172</v>
      </c>
      <c r="B42" s="86"/>
      <c r="C42" s="86"/>
      <c r="D42" s="86"/>
      <c r="E42" s="87"/>
      <c r="F42" s="107" t="s">
        <v>1173</v>
      </c>
      <c r="G42" s="86"/>
    </row>
    <row r="43" spans="1:7" x14ac:dyDescent="0.3">
      <c r="A43" s="94" t="s">
        <v>1174</v>
      </c>
      <c r="B43" s="86"/>
      <c r="C43" s="86"/>
      <c r="D43" s="86"/>
      <c r="E43" s="87"/>
      <c r="F43" s="107" t="s">
        <v>1175</v>
      </c>
      <c r="G43" s="86"/>
    </row>
    <row r="44" spans="1:7" x14ac:dyDescent="0.3">
      <c r="A44" s="94" t="s">
        <v>1176</v>
      </c>
      <c r="B44" s="86"/>
      <c r="C44" s="86"/>
      <c r="D44" s="86"/>
      <c r="E44" s="87"/>
      <c r="F44" s="107" t="s">
        <v>1177</v>
      </c>
      <c r="G44" s="86"/>
    </row>
    <row r="46" spans="1:7" ht="21" thickBot="1" x14ac:dyDescent="0.4">
      <c r="A46" s="100" t="s">
        <v>1178</v>
      </c>
      <c r="B46" s="83"/>
      <c r="C46" s="83"/>
      <c r="D46" s="83"/>
      <c r="E46" s="83"/>
      <c r="F46" s="83"/>
      <c r="G46" s="83"/>
    </row>
    <row r="47" spans="1:7" x14ac:dyDescent="0.3">
      <c r="A47" s="119" t="s">
        <v>1179</v>
      </c>
      <c r="B47" s="112"/>
      <c r="C47" s="112"/>
      <c r="D47" s="112"/>
      <c r="E47" s="112"/>
      <c r="F47" s="112"/>
      <c r="G47" s="112"/>
    </row>
    <row r="48" spans="1:7" x14ac:dyDescent="0.3">
      <c r="A48" s="120"/>
      <c r="B48" s="75"/>
      <c r="C48" s="75"/>
      <c r="D48" s="75"/>
      <c r="E48" s="75"/>
      <c r="F48" s="75"/>
      <c r="G48" s="75"/>
    </row>
    <row r="49" spans="1:7" ht="24.75" customHeight="1" x14ac:dyDescent="0.3">
      <c r="A49" s="120"/>
      <c r="B49" s="75"/>
      <c r="C49" s="75"/>
      <c r="D49" s="75"/>
      <c r="E49" s="75"/>
      <c r="F49" s="75"/>
      <c r="G49" s="75"/>
    </row>
  </sheetData>
  <mergeCells count="47">
    <mergeCell ref="A47:G49"/>
    <mergeCell ref="A26:D26"/>
    <mergeCell ref="B16:G16"/>
    <mergeCell ref="A42:E42"/>
    <mergeCell ref="B12:G12"/>
    <mergeCell ref="A25:D25"/>
    <mergeCell ref="A20:D20"/>
    <mergeCell ref="E29:G29"/>
    <mergeCell ref="A18:G18"/>
    <mergeCell ref="A43:E43"/>
    <mergeCell ref="E26:G26"/>
    <mergeCell ref="A39:G39"/>
    <mergeCell ref="A46:G46"/>
    <mergeCell ref="B10:G10"/>
    <mergeCell ref="F43:G43"/>
    <mergeCell ref="A31:G31"/>
    <mergeCell ref="E27:G27"/>
    <mergeCell ref="B13:G13"/>
    <mergeCell ref="A41:E41"/>
    <mergeCell ref="B11:G11"/>
    <mergeCell ref="E19:G19"/>
    <mergeCell ref="E28:G28"/>
    <mergeCell ref="A9:G9"/>
    <mergeCell ref="A1:G2"/>
    <mergeCell ref="A5:G5"/>
    <mergeCell ref="E21:G21"/>
    <mergeCell ref="A29:D29"/>
    <mergeCell ref="A40:E40"/>
    <mergeCell ref="E20:G20"/>
    <mergeCell ref="B15:G15"/>
    <mergeCell ref="A23:D23"/>
    <mergeCell ref="E23:G23"/>
    <mergeCell ref="A6:C7"/>
    <mergeCell ref="E22:G22"/>
    <mergeCell ref="F44:G44"/>
    <mergeCell ref="F40:G40"/>
    <mergeCell ref="A19:D19"/>
    <mergeCell ref="A28:D28"/>
    <mergeCell ref="A44:E44"/>
    <mergeCell ref="A27:D27"/>
    <mergeCell ref="F42:G42"/>
    <mergeCell ref="A22:D22"/>
    <mergeCell ref="E25:G25"/>
    <mergeCell ref="F41:G41"/>
    <mergeCell ref="D6:G7"/>
    <mergeCell ref="A21:D21"/>
    <mergeCell ref="B14:G14"/>
  </mergeCells>
  <phoneticPr fontId="32" type="noConversion"/>
  <printOptions horizontalCentered="1"/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표지</vt:lpstr>
      <vt:lpstr>핵심실적</vt:lpstr>
      <vt:lpstr>2025실적</vt:lpstr>
      <vt:lpstr>사업구조</vt:lpstr>
      <vt:lpstr>주주환원</vt:lpstr>
      <vt:lpstr>R&amp;D_특허</vt:lpstr>
      <vt:lpstr>밸류에이션</vt:lpstr>
      <vt:lpstr>PER분석</vt:lpstr>
      <vt:lpstr>PBR_ROE_RIM</vt:lpstr>
      <vt:lpstr>EV_EBITDA_FCF</vt:lpstr>
      <vt:lpstr>시나리오_SWOT</vt:lpstr>
      <vt:lpstr>모니터링</vt:lpstr>
      <vt:lpstr>Four Filters</vt:lpstr>
      <vt:lpstr>경제적_해자</vt:lpstr>
      <vt:lpstr>경영진_평가</vt:lpstr>
      <vt:lpstr>자본배분</vt:lpstr>
      <vt:lpstr>수익성_품질</vt:lpstr>
      <vt:lpstr>내재가치_안전마진</vt:lpstr>
      <vt:lpstr>투자판정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Jooyong Kim</cp:lastModifiedBy>
  <cp:lastPrinted>2026-02-07T09:21:03Z</cp:lastPrinted>
  <dcterms:created xsi:type="dcterms:W3CDTF">2026-02-07T08:47:30Z</dcterms:created>
  <dcterms:modified xsi:type="dcterms:W3CDTF">2026-02-07T09:32:13Z</dcterms:modified>
</cp:coreProperties>
</file>