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핵심실적" sheetId="2" state="visible" r:id="rId2"/>
    <sheet xmlns:r="http://schemas.openxmlformats.org/officeDocument/2006/relationships" name="2025실적" sheetId="3" state="visible" r:id="rId3"/>
    <sheet xmlns:r="http://schemas.openxmlformats.org/officeDocument/2006/relationships" name="사업구조" sheetId="4" state="visible" r:id="rId4"/>
    <sheet xmlns:r="http://schemas.openxmlformats.org/officeDocument/2006/relationships" name="주주환원" sheetId="5" state="visible" r:id="rId5"/>
    <sheet xmlns:r="http://schemas.openxmlformats.org/officeDocument/2006/relationships" name="R&amp;D_특허" sheetId="6" state="visible" r:id="rId6"/>
    <sheet xmlns:r="http://schemas.openxmlformats.org/officeDocument/2006/relationships" name="투자지표" sheetId="7" state="visible" r:id="rId7"/>
    <sheet xmlns:r="http://schemas.openxmlformats.org/officeDocument/2006/relationships" name="시나리오" sheetId="8" state="visible" r:id="rId8"/>
    <sheet xmlns:r="http://schemas.openxmlformats.org/officeDocument/2006/relationships" name="모니터링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18">
    <font>
      <name val="Calibri"/>
      <family val="2"/>
      <color theme="1"/>
      <sz val="11"/>
      <scheme val="minor"/>
    </font>
    <font>
      <name val="맑은 고딕"/>
      <b val="1"/>
      <color rgb="00FFFFFF"/>
      <sz val="32"/>
    </font>
    <font>
      <name val="맑은 고딕"/>
      <color rgb="00D4A843"/>
      <sz val="20"/>
    </font>
    <font>
      <name val="맑은 고딕"/>
      <color rgb="00B0C4DE"/>
      <sz val="11"/>
    </font>
    <font>
      <name val="맑은 고딕"/>
      <color rgb="008899AA"/>
      <sz val="11"/>
    </font>
    <font>
      <name val="맑은 고딕"/>
      <b val="1"/>
      <color rgb="00FFFFFF"/>
      <sz val="11"/>
    </font>
    <font>
      <name val="맑은 고딕"/>
      <color rgb="006688AA"/>
      <sz val="9"/>
    </font>
    <font>
      <name val="맑은 고딕"/>
      <color rgb="00D4A843"/>
      <sz val="10"/>
    </font>
    <font>
      <name val="맑은 고딕"/>
      <b val="1"/>
      <color rgb="001B2A4A"/>
      <sz val="14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  <font>
      <name val="맑은 고딕"/>
      <color rgb="00C0392B"/>
      <sz val="10"/>
    </font>
    <font>
      <name val="맑은 고딕"/>
      <color rgb="0027AE60"/>
      <sz val="10"/>
    </font>
    <font>
      <name val="맑은 고딕"/>
      <color rgb="00666666"/>
      <sz val="9"/>
    </font>
    <font>
      <name val="맑은 고딕"/>
      <b val="1"/>
      <color rgb="003A5BA0"/>
      <sz val="10"/>
    </font>
    <font>
      <name val="맑은 고딕"/>
      <b val="1"/>
      <color rgb="001B2A4A"/>
      <sz val="12"/>
    </font>
    <font>
      <name val="맑은 고딕"/>
      <b val="1"/>
      <color rgb="00C0392B"/>
      <sz val="10"/>
    </font>
  </fonts>
  <fills count="1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EBF1F8"/>
      </patternFill>
    </fill>
    <fill>
      <patternFill patternType="solid">
        <fgColor rgb="00F8D7DA"/>
      </patternFill>
    </fill>
    <fill>
      <patternFill patternType="solid">
        <fgColor rgb="00D4EDDA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2980B9"/>
      </patternFill>
    </fill>
    <fill>
      <patternFill patternType="solid">
        <fgColor rgb="007F8C8D"/>
      </patternFill>
    </fill>
    <fill>
      <patternFill patternType="solid">
        <fgColor rgb="00D6EAF8"/>
      </patternFill>
    </fill>
    <fill>
      <patternFill patternType="solid">
        <fgColor rgb="00E5E7E9"/>
      </patternFill>
    </fill>
  </fills>
  <borders count="3">
    <border>
      <left/>
      <right/>
      <top/>
      <bottom/>
      <diagonal/>
    </border>
    <border>
      <bottom style="medium">
        <color rgb="001B2A4A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/>
    </xf>
    <xf numFmtId="0" fontId="7" fillId="2" borderId="0" applyAlignment="1" pivotButton="0" quotePrefix="0" xfId="0">
      <alignment horizontal="left" vertical="top" wrapText="1"/>
    </xf>
    <xf numFmtId="0" fontId="8" fillId="0" borderId="1" pivotButton="0" quotePrefix="0" xfId="0"/>
    <xf numFmtId="0" fontId="9" fillId="3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 wrapText="1"/>
    </xf>
    <xf numFmtId="3" fontId="11" fillId="5" borderId="2" applyAlignment="1" pivotButton="0" quotePrefix="0" xfId="0">
      <alignment horizontal="right" vertical="center"/>
    </xf>
    <xf numFmtId="164" fontId="11" fillId="5" borderId="2" applyAlignment="1" pivotButton="0" quotePrefix="0" xfId="0">
      <alignment horizontal="right" vertical="center"/>
    </xf>
    <xf numFmtId="3" fontId="12" fillId="5" borderId="2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164" fontId="11" fillId="0" borderId="2" applyAlignment="1" pivotButton="0" quotePrefix="0" xfId="0">
      <alignment horizontal="right" vertical="center"/>
    </xf>
    <xf numFmtId="0" fontId="11" fillId="5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3" fontId="10" fillId="6" borderId="2" applyAlignment="1" pivotButton="0" quotePrefix="0" xfId="0">
      <alignment horizontal="right" vertical="center"/>
    </xf>
    <xf numFmtId="164" fontId="10" fillId="6" borderId="2" applyAlignment="1" pivotButton="0" quotePrefix="0" xfId="0">
      <alignment horizontal="right" vertical="center"/>
    </xf>
    <xf numFmtId="0" fontId="11" fillId="7" borderId="2" applyAlignment="1" pivotButton="0" quotePrefix="0" xfId="0">
      <alignment horizontal="center" vertical="center" wrapText="1"/>
    </xf>
    <xf numFmtId="3" fontId="11" fillId="7" borderId="2" applyAlignment="1" pivotButton="0" quotePrefix="0" xfId="0">
      <alignment horizontal="right" vertical="center"/>
    </xf>
    <xf numFmtId="164" fontId="11" fillId="7" borderId="2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center" vertical="center" wrapText="1"/>
    </xf>
    <xf numFmtId="0" fontId="13" fillId="5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right" vertical="center"/>
    </xf>
    <xf numFmtId="0" fontId="10" fillId="5" borderId="2" applyAlignment="1" pivotButton="0" quotePrefix="0" xfId="0">
      <alignment horizontal="left" vertical="center" wrapText="1"/>
    </xf>
    <xf numFmtId="165" fontId="13" fillId="5" borderId="2" applyAlignment="1" pivotButton="0" quotePrefix="0" xfId="0">
      <alignment horizontal="right" vertical="center"/>
    </xf>
    <xf numFmtId="165" fontId="12" fillId="5" borderId="2" applyAlignment="1" pivotButton="0" quotePrefix="0" xfId="0">
      <alignment horizontal="right" vertical="center"/>
    </xf>
    <xf numFmtId="0" fontId="10" fillId="5" borderId="2" applyAlignment="1" pivotButton="0" quotePrefix="0" xfId="0">
      <alignment horizontal="center" vertical="center" wrapText="1"/>
    </xf>
    <xf numFmtId="3" fontId="13" fillId="5" borderId="2" applyAlignment="1" pivotButton="0" quotePrefix="0" xfId="0">
      <alignment horizontal="right" vertical="center"/>
    </xf>
    <xf numFmtId="0" fontId="14" fillId="5" borderId="2" applyAlignment="1" pivotButton="0" quotePrefix="0" xfId="0">
      <alignment horizontal="left" vertical="center" wrapText="1"/>
    </xf>
    <xf numFmtId="0" fontId="10" fillId="7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left" vertical="center" wrapText="1"/>
    </xf>
    <xf numFmtId="0" fontId="15" fillId="0" borderId="0" pivotButton="0" quotePrefix="0" xfId="0"/>
    <xf numFmtId="0" fontId="10" fillId="7" borderId="2" applyAlignment="1" pivotButton="0" quotePrefix="0" xfId="0">
      <alignment horizontal="left" vertical="center" wrapText="1"/>
    </xf>
    <xf numFmtId="0" fontId="16" fillId="6" borderId="2" applyAlignment="1" pivotButton="0" quotePrefix="0" xfId="0">
      <alignment horizontal="center" vertical="center" wrapText="1"/>
    </xf>
    <xf numFmtId="0" fontId="17" fillId="8" borderId="2" applyAlignment="1" pivotButton="0" quotePrefix="0" xfId="0">
      <alignment horizontal="left" vertical="center" wrapText="1"/>
    </xf>
    <xf numFmtId="0" fontId="11" fillId="9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left" vertical="center" wrapText="1"/>
    </xf>
    <xf numFmtId="0" fontId="11" fillId="8" borderId="2" applyAlignment="1" pivotButton="0" quotePrefix="0" xfId="0">
      <alignment horizontal="left" vertical="center" wrapText="1"/>
    </xf>
    <xf numFmtId="0" fontId="5" fillId="12" borderId="0" applyAlignment="1" pivotButton="0" quotePrefix="0" xfId="0">
      <alignment horizontal="center" vertical="center" wrapText="1"/>
    </xf>
    <xf numFmtId="0" fontId="5" fillId="13" borderId="0" applyAlignment="1" pivotButton="0" quotePrefix="0" xfId="0">
      <alignment horizontal="center" vertical="center" wrapText="1"/>
    </xf>
    <xf numFmtId="0" fontId="11" fillId="14" borderId="2" applyAlignment="1" pivotButton="0" quotePrefix="0" xfId="0">
      <alignment horizontal="left" vertical="center" wrapText="1"/>
    </xf>
    <xf numFmtId="0" fontId="11" fillId="15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 fitToPage="1"/>
  </sheetPr>
  <dimension ref="A1:G34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3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>
      <c r="A5" s="1" t="n"/>
      <c r="B5" s="1" t="n"/>
      <c r="C5" s="1" t="n"/>
      <c r="D5" s="1" t="n"/>
      <c r="E5" s="1" t="n"/>
      <c r="F5" s="1" t="n"/>
      <c r="G5" s="1" t="n"/>
    </row>
    <row r="6">
      <c r="A6" s="1" t="n"/>
      <c r="B6" s="2" t="inlineStr">
        <is>
          <t>엠씨넥스(MCNEX)</t>
        </is>
      </c>
      <c r="G6" s="1" t="n"/>
    </row>
    <row r="7">
      <c r="A7" s="1" t="n"/>
      <c r="B7" s="1" t="n"/>
      <c r="C7" s="1" t="n"/>
      <c r="D7" s="1" t="n"/>
      <c r="E7" s="1" t="n"/>
      <c r="F7" s="1" t="n"/>
      <c r="G7" s="1" t="n"/>
    </row>
    <row r="8">
      <c r="A8" s="1" t="n"/>
      <c r="B8" s="3" t="inlineStr">
        <is>
          <t>심층 기업분석 보고서</t>
        </is>
      </c>
      <c r="G8" s="1" t="n"/>
    </row>
    <row r="9">
      <c r="A9" s="1" t="n"/>
      <c r="B9" s="1" t="n"/>
      <c r="C9" s="1" t="n"/>
      <c r="D9" s="1" t="n"/>
      <c r="E9" s="1" t="n"/>
      <c r="F9" s="1" t="n"/>
      <c r="G9" s="1" t="n"/>
    </row>
    <row r="10">
      <c r="A10" s="1" t="n"/>
      <c r="B10" s="1" t="n"/>
      <c r="C10" s="1" t="n"/>
      <c r="D10" s="1" t="n"/>
      <c r="E10" s="1" t="n"/>
      <c r="F10" s="1" t="n"/>
      <c r="G10" s="1" t="n"/>
    </row>
    <row r="11">
      <c r="A11" s="1" t="n"/>
      <c r="B11" s="4" t="inlineStr">
        <is>
          <t>종목코드: 097520 (유가증권시장)  |  업종: 기타 영상기기 제조업</t>
        </is>
      </c>
      <c r="G11" s="1" t="n"/>
    </row>
    <row r="12">
      <c r="A12" s="1" t="n"/>
      <c r="B12" s="4" t="inlineStr">
        <is>
          <t>CCM(카메라모듈) 기술 기반 영상전문기업</t>
        </is>
      </c>
      <c r="G12" s="1" t="n"/>
    </row>
    <row r="13">
      <c r="A13" s="1" t="n"/>
      <c r="B13" s="1" t="n"/>
      <c r="C13" s="1" t="n"/>
      <c r="D13" s="1" t="n"/>
      <c r="E13" s="1" t="n"/>
      <c r="F13" s="1" t="n"/>
      <c r="G13" s="1" t="n"/>
    </row>
    <row r="14">
      <c r="A14" s="1" t="n"/>
      <c r="B14" s="1" t="n"/>
      <c r="C14" s="1" t="n"/>
      <c r="D14" s="1" t="n"/>
      <c r="E14" s="1" t="n"/>
      <c r="F14" s="1" t="n"/>
      <c r="G14" s="1" t="n"/>
    </row>
    <row r="15">
      <c r="A15" s="1" t="n"/>
      <c r="B15" s="5" t="inlineStr">
        <is>
          <t>대표이사</t>
        </is>
      </c>
      <c r="D15" s="6" t="inlineStr">
        <is>
          <t>민동욱</t>
        </is>
      </c>
      <c r="G15" s="1" t="n"/>
    </row>
    <row r="16">
      <c r="A16" s="1" t="n"/>
      <c r="B16" s="5" t="inlineStr">
        <is>
          <t>설립일</t>
        </is>
      </c>
      <c r="D16" s="6" t="inlineStr">
        <is>
          <t>2004년 12월 22일</t>
        </is>
      </c>
      <c r="G16" s="1" t="n"/>
    </row>
    <row r="17">
      <c r="A17" s="1" t="n"/>
      <c r="B17" s="5" t="inlineStr">
        <is>
          <t>본사</t>
        </is>
      </c>
      <c r="D17" s="6" t="inlineStr">
        <is>
          <t>인천 연수구 송도과학로16번길 13-39 엠씨넥스타워</t>
        </is>
      </c>
      <c r="G17" s="1" t="n"/>
    </row>
    <row r="18">
      <c r="A18" s="1" t="n"/>
      <c r="B18" s="5" t="inlineStr">
        <is>
          <t>시장구분</t>
        </is>
      </c>
      <c r="D18" s="6" t="inlineStr">
        <is>
          <t>유가증권시장 (2021.07 코스닥→이전상장)</t>
        </is>
      </c>
      <c r="G18" s="1" t="n"/>
    </row>
    <row r="19">
      <c r="A19" s="1" t="n"/>
      <c r="B19" s="5" t="inlineStr">
        <is>
          <t>신용등급</t>
        </is>
      </c>
      <c r="D19" s="6" t="inlineStr">
        <is>
          <t>A- (나이스평가정보, 2024.05)</t>
        </is>
      </c>
      <c r="G19" s="1" t="n"/>
    </row>
    <row r="20">
      <c r="A20" s="1" t="n"/>
      <c r="B20" s="5" t="inlineStr">
        <is>
          <t>주요고객</t>
        </is>
      </c>
      <c r="D20" s="6" t="inlineStr">
        <is>
          <t>삼성전자(모바일), 현대모비스(전장)</t>
        </is>
      </c>
      <c r="G20" s="1" t="n"/>
    </row>
    <row r="21">
      <c r="A21" s="1" t="n"/>
      <c r="B21" s="5" t="inlineStr">
        <is>
          <t>생산기지</t>
        </is>
      </c>
      <c r="D21" s="6" t="inlineStr">
        <is>
          <t>한국(본사R&amp;D+생산), 베트남(VINA 1~3공장)</t>
        </is>
      </c>
      <c r="G21" s="1" t="n"/>
    </row>
    <row r="22">
      <c r="A22" s="1" t="n"/>
      <c r="B22" s="5" t="inlineStr">
        <is>
          <t>분석기준일</t>
        </is>
      </c>
      <c r="D22" s="6" t="inlineStr">
        <is>
          <t>2026년 2월 6일</t>
        </is>
      </c>
      <c r="G22" s="1" t="n"/>
    </row>
    <row r="23">
      <c r="A23" s="1" t="n"/>
      <c r="B23" s="1" t="n"/>
      <c r="C23" s="1" t="n"/>
      <c r="D23" s="1" t="n"/>
      <c r="E23" s="1" t="n"/>
      <c r="F23" s="1" t="n"/>
      <c r="G23" s="1" t="n"/>
    </row>
    <row r="24">
      <c r="A24" s="1" t="n"/>
      <c r="B24" s="1" t="n"/>
      <c r="C24" s="1" t="n"/>
      <c r="D24" s="1" t="n"/>
      <c r="E24" s="1" t="n"/>
      <c r="F24" s="1" t="n"/>
      <c r="G24" s="1" t="n"/>
    </row>
    <row r="25">
      <c r="A25" s="1" t="n"/>
      <c r="B25" s="7" t="inlineStr">
        <is>
          <t>데이터 출처: OpenDART 공시 574건, 사업보고서 13년치 전수분석</t>
        </is>
      </c>
      <c r="G25" s="1" t="n"/>
    </row>
    <row r="26">
      <c r="A26" s="1" t="n"/>
      <c r="B26" s="1" t="n"/>
      <c r="C26" s="1" t="n"/>
      <c r="D26" s="1" t="n"/>
      <c r="E26" s="1" t="n"/>
      <c r="F26" s="1" t="n"/>
      <c r="G26" s="1" t="n"/>
    </row>
    <row r="27">
      <c r="A27" s="1" t="n"/>
      <c r="B27" s="8" t="inlineStr">
        <is>
          <t>핵심 요약:
• PER 5.5배, PBR 0.9배의 저평가 가치주
• 2024년 영업이익 +144% YoY, 순이익 636억(역대 최대)
• 전장(ADAS) 매출 비중 27%→성장 가속, 배당수익률 4.0%</t>
        </is>
      </c>
      <c r="G27" s="1" t="n"/>
    </row>
    <row r="28">
      <c r="A28" s="1" t="n"/>
      <c r="G28" s="1" t="n"/>
    </row>
    <row r="29">
      <c r="A29" s="1" t="n"/>
      <c r="G29" s="1" t="n"/>
    </row>
    <row r="30">
      <c r="A30" s="1" t="n"/>
      <c r="G30" s="1" t="n"/>
    </row>
    <row r="31">
      <c r="A31" s="1" t="n"/>
      <c r="B31" s="1" t="n"/>
      <c r="C31" s="1" t="n"/>
      <c r="D31" s="1" t="n"/>
      <c r="E31" s="1" t="n"/>
      <c r="F31" s="1" t="n"/>
      <c r="G31" s="1" t="n"/>
    </row>
    <row r="32">
      <c r="A32" s="1" t="n"/>
      <c r="B32" s="1" t="n"/>
      <c r="C32" s="1" t="n"/>
      <c r="D32" s="1" t="n"/>
      <c r="E32" s="1" t="n"/>
      <c r="F32" s="1" t="n"/>
      <c r="G32" s="1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>
      <c r="A34" s="1" t="n"/>
      <c r="B34" s="1" t="n"/>
      <c r="C34" s="1" t="n"/>
      <c r="D34" s="1" t="n"/>
      <c r="E34" s="1" t="n"/>
      <c r="F34" s="1" t="n"/>
      <c r="G34" s="1" t="n"/>
    </row>
  </sheetData>
  <mergeCells count="22">
    <mergeCell ref="B16:C16"/>
    <mergeCell ref="B25:F25"/>
    <mergeCell ref="B22:C22"/>
    <mergeCell ref="D17:F17"/>
    <mergeCell ref="B18:C18"/>
    <mergeCell ref="D16:F16"/>
    <mergeCell ref="B12:F12"/>
    <mergeCell ref="B21:C21"/>
    <mergeCell ref="B11:F11"/>
    <mergeCell ref="D18:F18"/>
    <mergeCell ref="B8:F8"/>
    <mergeCell ref="B17:C17"/>
    <mergeCell ref="D15:F15"/>
    <mergeCell ref="B19:C19"/>
    <mergeCell ref="D20:F20"/>
    <mergeCell ref="D19:F19"/>
    <mergeCell ref="B15:C15"/>
    <mergeCell ref="B6:F6"/>
    <mergeCell ref="B20:C20"/>
    <mergeCell ref="D22:F22"/>
    <mergeCell ref="B27:F30"/>
    <mergeCell ref="D21:F21"/>
  </mergeCells>
  <printOptions horizontalCentered="1"/>
  <pageMargins left="0.25" right="0.25" top="0.5" bottom="0.5" header="0.3" footer="0.3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tabColor rgb="002C3E6B"/>
    <outlinePr summaryBelow="1" summaryRight="1"/>
    <pageSetUpPr fitToPage="1"/>
  </sheetPr>
  <dimension ref="A1:K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14" customWidth="1" min="11" max="11"/>
  </cols>
  <sheetData>
    <row r="1">
      <c r="A1" s="9" t="inlineStr">
        <is>
          <t>10년 연결 재무실적 (단위: 억원)</t>
        </is>
      </c>
    </row>
    <row r="3">
      <c r="A3" s="10" t="inlineStr">
        <is>
          <t>연도</t>
        </is>
      </c>
      <c r="B3" s="10" t="inlineStr">
        <is>
          <t>매출액</t>
        </is>
      </c>
      <c r="C3" s="10" t="inlineStr">
        <is>
          <t>영업이익</t>
        </is>
      </c>
      <c r="D3" s="10" t="inlineStr">
        <is>
          <t>순이익</t>
        </is>
      </c>
      <c r="E3" s="10" t="inlineStr">
        <is>
          <t>EPS(원)</t>
        </is>
      </c>
      <c r="F3" s="10" t="inlineStr">
        <is>
          <t>총자산</t>
        </is>
      </c>
      <c r="G3" s="10" t="inlineStr">
        <is>
          <t>총부채</t>
        </is>
      </c>
      <c r="H3" s="10" t="inlineStr">
        <is>
          <t>총자본</t>
        </is>
      </c>
      <c r="I3" s="10" t="inlineStr">
        <is>
          <t>부채비율</t>
        </is>
      </c>
      <c r="J3" s="10" t="inlineStr">
        <is>
          <t>영업이익률</t>
        </is>
      </c>
      <c r="K3" s="10" t="inlineStr">
        <is>
          <t>ROE</t>
        </is>
      </c>
    </row>
    <row r="4">
      <c r="A4" s="11" t="inlineStr">
        <is>
          <t>2015</t>
        </is>
      </c>
      <c r="B4" s="12" t="n">
        <v>5028</v>
      </c>
      <c r="C4" s="12" t="n">
        <v>262</v>
      </c>
      <c r="D4" s="12" t="n">
        <v>161</v>
      </c>
      <c r="E4" s="12" t="n">
        <v>1833</v>
      </c>
      <c r="F4" s="12" t="n">
        <v>2725</v>
      </c>
      <c r="G4" s="12" t="n">
        <v>1815</v>
      </c>
      <c r="H4" s="12" t="n">
        <v>910</v>
      </c>
      <c r="I4" s="13">
        <f>G4/H4</f>
        <v/>
      </c>
      <c r="J4" s="13">
        <f>C4/B4</f>
        <v/>
      </c>
      <c r="K4" s="13">
        <f>D4/H4</f>
        <v/>
      </c>
    </row>
    <row r="5">
      <c r="A5" s="11" t="inlineStr">
        <is>
          <t>2016</t>
        </is>
      </c>
      <c r="B5" s="12" t="n">
        <v>4124</v>
      </c>
      <c r="C5" s="14" t="n">
        <v>-239</v>
      </c>
      <c r="D5" s="14" t="n">
        <v>-247</v>
      </c>
      <c r="E5" s="12" t="n">
        <v>-2824</v>
      </c>
      <c r="F5" s="12" t="n">
        <v>2946</v>
      </c>
      <c r="G5" s="12" t="n">
        <v>2310</v>
      </c>
      <c r="H5" s="12" t="n">
        <v>636</v>
      </c>
      <c r="I5" s="13">
        <f>G5/H5</f>
        <v/>
      </c>
      <c r="J5" s="13">
        <f>C5/B5</f>
        <v/>
      </c>
      <c r="K5" s="13">
        <f>D5/((H5+H4)/2)</f>
        <v/>
      </c>
    </row>
    <row r="6">
      <c r="A6" s="11" t="inlineStr">
        <is>
          <t>2017</t>
        </is>
      </c>
      <c r="B6" s="12" t="n">
        <v>6684</v>
      </c>
      <c r="C6" s="12" t="n">
        <v>196</v>
      </c>
      <c r="D6" s="14" t="n">
        <v>-9</v>
      </c>
      <c r="E6" s="12" t="n">
        <v>-100</v>
      </c>
      <c r="F6" s="12" t="n">
        <v>3877</v>
      </c>
      <c r="G6" s="12" t="n">
        <v>2897</v>
      </c>
      <c r="H6" s="12" t="n">
        <v>980</v>
      </c>
      <c r="I6" s="13">
        <f>G6/H6</f>
        <v/>
      </c>
      <c r="J6" s="13">
        <f>C6/B6</f>
        <v/>
      </c>
      <c r="K6" s="13">
        <f>D6/((H6+H5)/2)</f>
        <v/>
      </c>
    </row>
    <row r="7">
      <c r="A7" s="11" t="inlineStr">
        <is>
          <t>2018</t>
        </is>
      </c>
      <c r="B7" s="12" t="n">
        <v>6969</v>
      </c>
      <c r="C7" s="12" t="n">
        <v>411</v>
      </c>
      <c r="D7" s="12" t="n">
        <v>298</v>
      </c>
      <c r="E7" s="12" t="n">
        <v>2161</v>
      </c>
      <c r="F7" s="12" t="n">
        <v>3910</v>
      </c>
      <c r="G7" s="12" t="n">
        <v>2613</v>
      </c>
      <c r="H7" s="12" t="n">
        <v>1297</v>
      </c>
      <c r="I7" s="13">
        <f>G7/H7</f>
        <v/>
      </c>
      <c r="J7" s="13">
        <f>C7/B7</f>
        <v/>
      </c>
      <c r="K7" s="13">
        <f>D7/((H7+H6)/2)</f>
        <v/>
      </c>
    </row>
    <row r="8">
      <c r="A8" s="11" t="inlineStr">
        <is>
          <t>2019</t>
        </is>
      </c>
      <c r="B8" s="12" t="n">
        <v>12677</v>
      </c>
      <c r="C8" s="12" t="n">
        <v>1130</v>
      </c>
      <c r="D8" s="12" t="n">
        <v>845</v>
      </c>
      <c r="E8" s="12" t="n">
        <v>5151</v>
      </c>
      <c r="F8" s="12" t="n">
        <v>4765</v>
      </c>
      <c r="G8" s="12" t="n">
        <v>2520</v>
      </c>
      <c r="H8" s="12" t="n">
        <v>2245</v>
      </c>
      <c r="I8" s="13">
        <f>G8/H8</f>
        <v/>
      </c>
      <c r="J8" s="13">
        <f>C8/B8</f>
        <v/>
      </c>
      <c r="K8" s="13">
        <f>D8/((H8+H7)/2)</f>
        <v/>
      </c>
    </row>
    <row r="9">
      <c r="A9" s="11" t="inlineStr">
        <is>
          <t>2020</t>
        </is>
      </c>
      <c r="B9" s="12" t="n">
        <v>13113</v>
      </c>
      <c r="C9" s="12" t="n">
        <v>591</v>
      </c>
      <c r="D9" s="12" t="n">
        <v>384</v>
      </c>
      <c r="E9" s="12" t="n">
        <v>2180</v>
      </c>
      <c r="F9" s="12" t="n">
        <v>4533</v>
      </c>
      <c r="G9" s="12" t="n">
        <v>2004</v>
      </c>
      <c r="H9" s="12" t="n">
        <v>2529</v>
      </c>
      <c r="I9" s="13">
        <f>G9/H9</f>
        <v/>
      </c>
      <c r="J9" s="13">
        <f>C9/B9</f>
        <v/>
      </c>
      <c r="K9" s="13">
        <f>D9/((H9+H8)/2)</f>
        <v/>
      </c>
    </row>
    <row r="10">
      <c r="A10" s="11" t="inlineStr">
        <is>
          <t>2021</t>
        </is>
      </c>
      <c r="B10" s="12" t="n">
        <v>10092</v>
      </c>
      <c r="C10" s="12" t="n">
        <v>238</v>
      </c>
      <c r="D10" s="12" t="n">
        <v>395</v>
      </c>
      <c r="E10" s="12" t="n">
        <v>2229</v>
      </c>
      <c r="F10" s="12" t="n">
        <v>5255</v>
      </c>
      <c r="G10" s="12" t="n">
        <v>2265</v>
      </c>
      <c r="H10" s="12" t="n">
        <v>2989</v>
      </c>
      <c r="I10" s="13">
        <f>G10/H10</f>
        <v/>
      </c>
      <c r="J10" s="13">
        <f>C10/B10</f>
        <v/>
      </c>
      <c r="K10" s="13">
        <f>D10/((H10+H9)/2)</f>
        <v/>
      </c>
    </row>
    <row r="11">
      <c r="A11" s="11" t="inlineStr">
        <is>
          <t>2022</t>
        </is>
      </c>
      <c r="B11" s="12" t="n">
        <v>11086</v>
      </c>
      <c r="C11" s="12" t="n">
        <v>107</v>
      </c>
      <c r="D11" s="12" t="n">
        <v>229</v>
      </c>
      <c r="E11" s="12" t="n">
        <v>1293</v>
      </c>
      <c r="F11" s="12" t="n">
        <v>5388</v>
      </c>
      <c r="G11" s="12" t="n">
        <v>2298</v>
      </c>
      <c r="H11" s="12" t="n">
        <v>3090</v>
      </c>
      <c r="I11" s="13">
        <f>G11/H11</f>
        <v/>
      </c>
      <c r="J11" s="13">
        <f>C11/B11</f>
        <v/>
      </c>
      <c r="K11" s="13">
        <f>D11/((H11+H10)/2)</f>
        <v/>
      </c>
    </row>
    <row r="12">
      <c r="A12" s="11" t="inlineStr">
        <is>
          <t>2023</t>
        </is>
      </c>
      <c r="B12" s="12" t="n">
        <v>9324</v>
      </c>
      <c r="C12" s="12" t="n">
        <v>182</v>
      </c>
      <c r="D12" s="12" t="n">
        <v>279</v>
      </c>
      <c r="E12" s="12" t="n">
        <v>1585</v>
      </c>
      <c r="F12" s="12" t="n">
        <v>5356</v>
      </c>
      <c r="G12" s="12" t="n">
        <v>2120</v>
      </c>
      <c r="H12" s="12" t="n">
        <v>3236</v>
      </c>
      <c r="I12" s="13">
        <f>G12/H12</f>
        <v/>
      </c>
      <c r="J12" s="13">
        <f>C12/B12</f>
        <v/>
      </c>
      <c r="K12" s="13">
        <f>D12/((H12+H11)/2)</f>
        <v/>
      </c>
    </row>
    <row r="13">
      <c r="A13" s="11" t="inlineStr">
        <is>
          <t>2024</t>
        </is>
      </c>
      <c r="B13" s="12" t="n">
        <v>10570</v>
      </c>
      <c r="C13" s="12" t="n">
        <v>443</v>
      </c>
      <c r="D13" s="12" t="n">
        <v>636</v>
      </c>
      <c r="E13" s="12" t="n">
        <v>3661</v>
      </c>
      <c r="F13" s="12" t="n">
        <v>5741</v>
      </c>
      <c r="G13" s="12" t="n">
        <v>2018</v>
      </c>
      <c r="H13" s="12" t="n">
        <v>3722</v>
      </c>
      <c r="I13" s="13">
        <f>G13/H13</f>
        <v/>
      </c>
      <c r="J13" s="13">
        <f>C13/B13</f>
        <v/>
      </c>
      <c r="K13" s="13">
        <f>D13/((H13+H12)/2)</f>
        <v/>
      </c>
    </row>
    <row r="16">
      <c r="A16" s="15" t="inlineStr">
        <is>
          <t>전년대비 성장률 (YoY)</t>
        </is>
      </c>
    </row>
    <row r="17">
      <c r="A17" s="10" t="inlineStr">
        <is>
          <t>연도</t>
        </is>
      </c>
      <c r="B17" s="10" t="inlineStr">
        <is>
          <t>매출 YoY</t>
        </is>
      </c>
      <c r="C17" s="10" t="inlineStr">
        <is>
          <t>영업이익 YoY</t>
        </is>
      </c>
      <c r="D17" s="10" t="inlineStr">
        <is>
          <t>순이익 YoY</t>
        </is>
      </c>
    </row>
    <row r="18">
      <c r="A18" s="11" t="inlineStr">
        <is>
          <t>2016</t>
        </is>
      </c>
      <c r="B18" s="16">
        <f>IF(B4=0,"-",(B5-B4)/B4)</f>
        <v/>
      </c>
      <c r="C18" s="16">
        <f>IF(C4=0,"-",(C5-C4)/C4)</f>
        <v/>
      </c>
      <c r="D18" s="16">
        <f>IF(D4=0,"-",(D5-D4)/D4)</f>
        <v/>
      </c>
    </row>
    <row r="19">
      <c r="A19" s="11" t="inlineStr">
        <is>
          <t>2017</t>
        </is>
      </c>
      <c r="B19" s="16">
        <f>IF(B5=0,"-",(B6-B5)/B5)</f>
        <v/>
      </c>
      <c r="C19" s="16">
        <f>IF(C5=0,"-",(C6-C5)/C5)</f>
        <v/>
      </c>
      <c r="D19" s="16">
        <f>IF(D5=0,"-",(D6-D5)/D5)</f>
        <v/>
      </c>
    </row>
    <row r="20">
      <c r="A20" s="11" t="inlineStr">
        <is>
          <t>2018</t>
        </is>
      </c>
      <c r="B20" s="16">
        <f>IF(B6=0,"-",(B7-B6)/B6)</f>
        <v/>
      </c>
      <c r="C20" s="16">
        <f>IF(C6=0,"-",(C7-C6)/C6)</f>
        <v/>
      </c>
      <c r="D20" s="16">
        <f>IF(D6=0,"-",(D7-D6)/D6)</f>
        <v/>
      </c>
    </row>
    <row r="21">
      <c r="A21" s="11" t="inlineStr">
        <is>
          <t>2019</t>
        </is>
      </c>
      <c r="B21" s="16">
        <f>IF(B7=0,"-",(B8-B7)/B7)</f>
        <v/>
      </c>
      <c r="C21" s="16">
        <f>IF(C7=0,"-",(C8-C7)/C7)</f>
        <v/>
      </c>
      <c r="D21" s="16">
        <f>IF(D7=0,"-",(D8-D7)/D7)</f>
        <v/>
      </c>
    </row>
    <row r="22">
      <c r="A22" s="11" t="inlineStr">
        <is>
          <t>2020</t>
        </is>
      </c>
      <c r="B22" s="16">
        <f>IF(B8=0,"-",(B9-B8)/B8)</f>
        <v/>
      </c>
      <c r="C22" s="16">
        <f>IF(C8=0,"-",(C9-C8)/C8)</f>
        <v/>
      </c>
      <c r="D22" s="16">
        <f>IF(D8=0,"-",(D9-D8)/D8)</f>
        <v/>
      </c>
    </row>
    <row r="23">
      <c r="A23" s="11" t="inlineStr">
        <is>
          <t>2021</t>
        </is>
      </c>
      <c r="B23" s="16">
        <f>IF(B9=0,"-",(B10-B9)/B9)</f>
        <v/>
      </c>
      <c r="C23" s="16">
        <f>IF(C9=0,"-",(C10-C9)/C9)</f>
        <v/>
      </c>
      <c r="D23" s="16">
        <f>IF(D9=0,"-",(D10-D9)/D9)</f>
        <v/>
      </c>
    </row>
    <row r="24">
      <c r="A24" s="11" t="inlineStr">
        <is>
          <t>2022</t>
        </is>
      </c>
      <c r="B24" s="16">
        <f>IF(B10=0,"-",(B11-B10)/B10)</f>
        <v/>
      </c>
      <c r="C24" s="16">
        <f>IF(C10=0,"-",(C11-C10)/C10)</f>
        <v/>
      </c>
      <c r="D24" s="16">
        <f>IF(D10=0,"-",(D11-D10)/D10)</f>
        <v/>
      </c>
    </row>
    <row r="25">
      <c r="A25" s="11" t="inlineStr">
        <is>
          <t>2023</t>
        </is>
      </c>
      <c r="B25" s="16">
        <f>IF(B11=0,"-",(B12-B11)/B11)</f>
        <v/>
      </c>
      <c r="C25" s="16">
        <f>IF(C11=0,"-",(C12-C11)/C11)</f>
        <v/>
      </c>
      <c r="D25" s="16">
        <f>IF(D11=0,"-",(D12-D11)/D11)</f>
        <v/>
      </c>
    </row>
    <row r="26">
      <c r="A26" s="11" t="inlineStr">
        <is>
          <t>2024</t>
        </is>
      </c>
      <c r="B26" s="16">
        <f>IF(B12=0,"-",(B13-B12)/B12)</f>
        <v/>
      </c>
      <c r="C26" s="16">
        <f>IF(C12=0,"-",(C13-C12)/C12)</f>
        <v/>
      </c>
      <c r="D26" s="16">
        <f>IF(D12=0,"-",(D13-D12)/D12)</f>
        <v/>
      </c>
    </row>
  </sheetData>
  <mergeCells count="2">
    <mergeCell ref="A16:K16"/>
    <mergeCell ref="A1:K1"/>
  </mergeCells>
  <printOptions horizontalCentered="1"/>
  <pageMargins left="0.25" right="0.25" top="0.5" bottom="0.5" header="0.3" footer="0.3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 fitToPage="1"/>
  </sheetPr>
  <dimension ref="A1:G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</cols>
  <sheetData>
    <row r="1">
      <c r="A1" s="9" t="inlineStr">
        <is>
          <t>2025년 분기별 잠정실적 (단위: 백만원)</t>
        </is>
      </c>
    </row>
    <row r="3">
      <c r="A3" s="10" t="inlineStr">
        <is>
          <t>분기</t>
        </is>
      </c>
      <c r="B3" s="10" t="inlineStr">
        <is>
          <t>매출액</t>
        </is>
      </c>
      <c r="C3" s="10" t="inlineStr">
        <is>
          <t>영업이익</t>
        </is>
      </c>
      <c r="D3" s="10" t="inlineStr">
        <is>
          <t>순이익</t>
        </is>
      </c>
      <c r="E3" s="10" t="inlineStr">
        <is>
          <t>영업이익률</t>
        </is>
      </c>
      <c r="F3" s="10" t="inlineStr">
        <is>
          <t>매출 YoY</t>
        </is>
      </c>
      <c r="G3" s="10" t="inlineStr">
        <is>
          <t>영업이익 YoY</t>
        </is>
      </c>
    </row>
    <row r="4">
      <c r="A4" s="17" t="inlineStr">
        <is>
          <t>2024.1Q</t>
        </is>
      </c>
      <c r="B4" s="12" t="n">
        <v>287835</v>
      </c>
      <c r="C4" s="12" t="n">
        <v>15205</v>
      </c>
      <c r="D4" s="12" t="n">
        <v>15930</v>
      </c>
      <c r="E4" s="13">
        <f>C4/B4</f>
        <v/>
      </c>
      <c r="F4" s="13" t="n"/>
      <c r="G4" s="13" t="n"/>
    </row>
    <row r="5">
      <c r="A5" s="17" t="inlineStr">
        <is>
          <t>2024.2Q</t>
        </is>
      </c>
      <c r="B5" s="12" t="n">
        <v>225759</v>
      </c>
      <c r="C5" s="12" t="n">
        <v>7650</v>
      </c>
      <c r="D5" s="12" t="n">
        <v>18423</v>
      </c>
      <c r="E5" s="13">
        <f>C5/B5</f>
        <v/>
      </c>
      <c r="F5" s="13" t="n"/>
      <c r="G5" s="13" t="n"/>
    </row>
    <row r="6">
      <c r="A6" s="17" t="inlineStr">
        <is>
          <t>2024.3Q</t>
        </is>
      </c>
      <c r="B6" s="12" t="n">
        <v>245071</v>
      </c>
      <c r="C6" s="12" t="n">
        <v>3077</v>
      </c>
      <c r="D6" s="12" t="n">
        <v>2505</v>
      </c>
      <c r="E6" s="13">
        <f>C6/B6</f>
        <v/>
      </c>
      <c r="F6" s="13" t="n"/>
      <c r="G6" s="13" t="n"/>
    </row>
    <row r="7">
      <c r="A7" s="17" t="inlineStr">
        <is>
          <t>2024.4Q</t>
        </is>
      </c>
      <c r="B7" s="12" t="n">
        <v>298393</v>
      </c>
      <c r="C7" s="12" t="n">
        <v>18451</v>
      </c>
      <c r="D7" s="12" t="n">
        <v>26747</v>
      </c>
      <c r="E7" s="13">
        <f>C7/B7</f>
        <v/>
      </c>
      <c r="F7" s="13" t="n"/>
      <c r="G7" s="13" t="n"/>
    </row>
    <row r="8">
      <c r="A8" s="18" t="inlineStr">
        <is>
          <t>2024 합계</t>
        </is>
      </c>
      <c r="B8" s="19" t="n">
        <v>1057058</v>
      </c>
      <c r="C8" s="19" t="n">
        <v>44385</v>
      </c>
      <c r="D8" s="19" t="n">
        <v>63605</v>
      </c>
      <c r="E8" s="20">
        <f>C8/B8</f>
        <v/>
      </c>
      <c r="F8" s="20" t="n"/>
      <c r="G8" s="20" t="n"/>
    </row>
    <row r="9">
      <c r="A9" s="21" t="inlineStr">
        <is>
          <t>2025.1Q</t>
        </is>
      </c>
      <c r="B9" s="22" t="n">
        <v>347917</v>
      </c>
      <c r="C9" s="22" t="n">
        <v>20918</v>
      </c>
      <c r="D9" s="22" t="n">
        <v>20068</v>
      </c>
      <c r="E9" s="23">
        <f>C9/B9</f>
        <v/>
      </c>
      <c r="F9" s="23">
        <f>(B9-B4)/B4</f>
        <v/>
      </c>
      <c r="G9" s="23">
        <f>(C9-C4)/C4</f>
        <v/>
      </c>
    </row>
    <row r="10">
      <c r="A10" s="21" t="inlineStr">
        <is>
          <t>2025.2Q</t>
        </is>
      </c>
      <c r="B10" s="22" t="n">
        <v>326424</v>
      </c>
      <c r="C10" s="22" t="n">
        <v>16171</v>
      </c>
      <c r="D10" s="22" t="n">
        <v>13050</v>
      </c>
      <c r="E10" s="23">
        <f>C10/B10</f>
        <v/>
      </c>
      <c r="F10" s="23">
        <f>(B10-B5)/B5</f>
        <v/>
      </c>
      <c r="G10" s="23">
        <f>(C10-C5)/C5</f>
        <v/>
      </c>
    </row>
    <row r="11">
      <c r="A11" s="21" t="inlineStr">
        <is>
          <t>2025.3Q</t>
        </is>
      </c>
      <c r="B11" s="22" t="n">
        <v>303537</v>
      </c>
      <c r="C11" s="22" t="n">
        <v>6708</v>
      </c>
      <c r="D11" s="22" t="n">
        <v>9537</v>
      </c>
      <c r="E11" s="23">
        <f>C11/B11</f>
        <v/>
      </c>
      <c r="F11" s="23">
        <f>(B11-B6)/B6</f>
        <v/>
      </c>
      <c r="G11" s="23">
        <f>(C11-C6)/C6</f>
        <v/>
      </c>
    </row>
    <row r="12">
      <c r="A12" s="18" t="inlineStr">
        <is>
          <t>2025 누계</t>
        </is>
      </c>
      <c r="B12" s="19" t="n">
        <v>977877</v>
      </c>
      <c r="C12" s="19" t="n">
        <v>43797</v>
      </c>
      <c r="D12" s="19" t="n">
        <v>42656</v>
      </c>
      <c r="E12" s="20">
        <f>C12/B12</f>
        <v/>
      </c>
      <c r="F12" s="20" t="n"/>
      <c r="G12" s="20" t="n"/>
    </row>
    <row r="15">
      <c r="A15" s="15" t="inlineStr">
        <is>
          <t>핵심 포인트</t>
        </is>
      </c>
    </row>
    <row r="16">
      <c r="A16" s="24" t="inlineStr">
        <is>
          <t>• 2025년 3분기 누계 매출 9,779억 → 이미 2023년 연간(9,325억) 초과</t>
        </is>
      </c>
    </row>
    <row r="17">
      <c r="A17" s="24" t="inlineStr">
        <is>
          <t>• 2025년 연간 매출 1.3조원대 역대 최고 매출 갱신 전망</t>
        </is>
      </c>
    </row>
    <row r="18">
      <c r="A18" s="24" t="inlineStr">
        <is>
          <t>• 3Q 영업이익 67억(OPM 2.2%)으로 급감 → 원가율 상승/제품믹스 변화 모니터링 필요</t>
        </is>
      </c>
    </row>
    <row r="19">
      <c r="A19" s="24" t="inlineStr">
        <is>
          <t>• 1Q~2Q는 고부가 플래그십 모델 효과로 높은 마진 시현</t>
        </is>
      </c>
    </row>
  </sheetData>
  <mergeCells count="6">
    <mergeCell ref="A1:G1"/>
    <mergeCell ref="A17:G17"/>
    <mergeCell ref="A18:G18"/>
    <mergeCell ref="A16:G16"/>
    <mergeCell ref="A15:G15"/>
    <mergeCell ref="A19:G19"/>
  </mergeCells>
  <printOptions horizontalCentered="1"/>
  <pageMargins left="0.25" right="0.25" top="0.5" bottom="0.5" header="0.3" footer="0.3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tabColor rgb="00D4A843"/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9" t="inlineStr">
        <is>
          <t>사업부문별 매출 구조 (연결, 단위: 억원)</t>
        </is>
      </c>
    </row>
    <row r="3">
      <c r="A3" s="10" t="inlineStr">
        <is>
          <t>구분</t>
        </is>
      </c>
      <c r="B3" s="10" t="inlineStr">
        <is>
          <t>2020</t>
        </is>
      </c>
      <c r="C3" s="10" t="inlineStr">
        <is>
          <t>2021</t>
        </is>
      </c>
      <c r="D3" s="10" t="inlineStr">
        <is>
          <t>2022</t>
        </is>
      </c>
      <c r="E3" s="10" t="inlineStr">
        <is>
          <t>2023</t>
        </is>
      </c>
      <c r="F3" s="10" t="inlineStr">
        <is>
          <t>비중(23)</t>
        </is>
      </c>
      <c r="G3" s="10" t="inlineStr">
        <is>
          <t>추세</t>
        </is>
      </c>
    </row>
    <row r="4">
      <c r="A4" s="25" t="inlineStr">
        <is>
          <t>휴대폰용</t>
        </is>
      </c>
      <c r="B4" s="12" t="n">
        <v>11460</v>
      </c>
      <c r="C4" s="12" t="n">
        <v>8373</v>
      </c>
      <c r="D4" s="12" t="n">
        <v>9246</v>
      </c>
      <c r="E4" s="12" t="n">
        <v>6583</v>
      </c>
      <c r="F4" s="13">
        <f>E4/E7</f>
        <v/>
      </c>
      <c r="G4" s="26" t="inlineStr">
        <is>
          <t>↓</t>
        </is>
      </c>
    </row>
    <row r="5">
      <c r="A5" s="25" t="inlineStr">
        <is>
          <t>자동차용</t>
        </is>
      </c>
      <c r="B5" s="12" t="n">
        <v>1534</v>
      </c>
      <c r="C5" s="12" t="n">
        <v>1602</v>
      </c>
      <c r="D5" s="12" t="n">
        <v>1701</v>
      </c>
      <c r="E5" s="12" t="n">
        <v>2527</v>
      </c>
      <c r="F5" s="13">
        <f>E5/E7</f>
        <v/>
      </c>
      <c r="G5" s="27" t="inlineStr">
        <is>
          <t>↑</t>
        </is>
      </c>
    </row>
    <row r="6">
      <c r="A6" s="25" t="inlineStr">
        <is>
          <t>기타(상품/개발/식음)</t>
        </is>
      </c>
      <c r="B6" s="12" t="n">
        <v>119</v>
      </c>
      <c r="C6" s="12" t="n">
        <v>118</v>
      </c>
      <c r="D6" s="12" t="n">
        <v>127</v>
      </c>
      <c r="E6" s="12" t="n">
        <v>215</v>
      </c>
      <c r="F6" s="13">
        <f>E6/E7</f>
        <v/>
      </c>
      <c r="G6" s="27" t="inlineStr">
        <is>
          <t>↑</t>
        </is>
      </c>
    </row>
    <row r="7">
      <c r="A7" s="28" t="inlineStr">
        <is>
          <t>합계</t>
        </is>
      </c>
      <c r="B7" s="19" t="n">
        <v>13113</v>
      </c>
      <c r="C7" s="19" t="n">
        <v>10093</v>
      </c>
      <c r="D7" s="19" t="n">
        <v>11086</v>
      </c>
      <c r="E7" s="19" t="n">
        <v>9325</v>
      </c>
      <c r="F7" s="20" t="n"/>
      <c r="G7" s="29" t="n"/>
    </row>
    <row r="10">
      <c r="A10" s="15" t="inlineStr">
        <is>
          <t>종속회사 현황 (2024)</t>
        </is>
      </c>
    </row>
    <row r="11">
      <c r="A11" s="10" t="inlineStr">
        <is>
          <t>자회사명</t>
        </is>
      </c>
      <c r="B11" s="10" t="inlineStr">
        <is>
          <t>지분율</t>
        </is>
      </c>
      <c r="C11" s="10" t="inlineStr">
        <is>
          <t>역할</t>
        </is>
      </c>
      <c r="D11" s="10" t="inlineStr">
        <is>
          <t>장부가(억)</t>
        </is>
      </c>
      <c r="E11" s="10" t="inlineStr">
        <is>
          <t>순이익(억)</t>
        </is>
      </c>
      <c r="F11" s="10" t="inlineStr">
        <is>
          <t>총자산(억)</t>
        </is>
      </c>
    </row>
    <row r="12">
      <c r="A12" s="30" t="inlineStr">
        <is>
          <t>엠씨넥스VINA(베트남)</t>
        </is>
      </c>
      <c r="B12" s="17" t="inlineStr">
        <is>
          <t>100%</t>
        </is>
      </c>
      <c r="C12" s="25" t="inlineStr">
        <is>
          <t>핵심 생산기지 (1~3공장)</t>
        </is>
      </c>
      <c r="D12" s="12" t="n">
        <v>1216</v>
      </c>
      <c r="E12" s="31" t="n">
        <v>309</v>
      </c>
      <c r="F12" s="12" t="n">
        <v>3355</v>
      </c>
    </row>
    <row r="13">
      <c r="A13" s="30" t="inlineStr">
        <is>
          <t>엠씨넥스상해(중국)</t>
        </is>
      </c>
      <c r="B13" s="17" t="inlineStr">
        <is>
          <t>100%</t>
        </is>
      </c>
      <c r="C13" s="25" t="inlineStr">
        <is>
          <t>수출입 영업/CS</t>
        </is>
      </c>
      <c r="D13" s="12" t="n">
        <v>1</v>
      </c>
      <c r="E13" s="32" t="n">
        <v>-1</v>
      </c>
      <c r="F13" s="12" t="n">
        <v>14</v>
      </c>
    </row>
    <row r="14">
      <c r="A14" s="30" t="inlineStr">
        <is>
          <t>엠씨넥스에프앤비</t>
        </is>
      </c>
      <c r="B14" s="17" t="inlineStr">
        <is>
          <t>100%</t>
        </is>
      </c>
      <c r="C14" s="25" t="inlineStr">
        <is>
          <t>구내식당</t>
        </is>
      </c>
      <c r="D14" s="12" t="n">
        <v>10</v>
      </c>
      <c r="E14" s="32" t="n">
        <v>-0.4</v>
      </c>
      <c r="F14" s="12" t="n">
        <v>10</v>
      </c>
    </row>
    <row r="17">
      <c r="A17" s="15" t="inlineStr">
        <is>
          <t>생산능력 및 가동률</t>
        </is>
      </c>
    </row>
    <row r="18">
      <c r="A18" s="10" t="inlineStr">
        <is>
          <t>구분</t>
        </is>
      </c>
      <c r="B18" s="10" t="inlineStr">
        <is>
          <t>생산CAPA(만개)</t>
        </is>
      </c>
      <c r="C18" s="10" t="inlineStr">
        <is>
          <t>2021 생산</t>
        </is>
      </c>
      <c r="D18" s="10" t="inlineStr">
        <is>
          <t>2021 가동률</t>
        </is>
      </c>
      <c r="E18" s="10" t="inlineStr">
        <is>
          <t>2022 생산</t>
        </is>
      </c>
      <c r="F18" s="10" t="inlineStr">
        <is>
          <t>2022 가동률</t>
        </is>
      </c>
      <c r="G18" s="10" t="inlineStr">
        <is>
          <t>2023 생산</t>
        </is>
      </c>
      <c r="H18" s="10" t="inlineStr">
        <is>
          <t>2023 가동률</t>
        </is>
      </c>
    </row>
    <row r="19">
      <c r="A19" s="30" t="inlineStr">
        <is>
          <t>휴대폰용</t>
        </is>
      </c>
      <c r="B19" s="17" t="inlineStr">
        <is>
          <t>20,400만</t>
        </is>
      </c>
      <c r="C19" s="17" t="inlineStr">
        <is>
          <t>13,752만</t>
        </is>
      </c>
      <c r="D19" s="17" t="inlineStr">
        <is>
          <t>67.4%</t>
        </is>
      </c>
      <c r="E19" s="17" t="inlineStr">
        <is>
          <t>13,209만</t>
        </is>
      </c>
      <c r="F19" s="17" t="inlineStr">
        <is>
          <t>64.8%</t>
        </is>
      </c>
      <c r="G19" s="17" t="inlineStr">
        <is>
          <t>11,867만</t>
        </is>
      </c>
      <c r="H19" s="17" t="inlineStr">
        <is>
          <t>58.2%</t>
        </is>
      </c>
    </row>
    <row r="20">
      <c r="A20" s="30" t="inlineStr">
        <is>
          <t>자동차용</t>
        </is>
      </c>
      <c r="B20" s="17" t="inlineStr">
        <is>
          <t>600만</t>
        </is>
      </c>
      <c r="C20" s="17" t="inlineStr">
        <is>
          <t>523만</t>
        </is>
      </c>
      <c r="D20" s="17" t="inlineStr">
        <is>
          <t>87.1%</t>
        </is>
      </c>
      <c r="E20" s="17" t="inlineStr">
        <is>
          <t>504만</t>
        </is>
      </c>
      <c r="F20" s="17" t="inlineStr">
        <is>
          <t>84.0%</t>
        </is>
      </c>
      <c r="G20" s="17" t="inlineStr">
        <is>
          <t>527만</t>
        </is>
      </c>
      <c r="H20" s="17" t="inlineStr">
        <is>
          <t>87.8%</t>
        </is>
      </c>
    </row>
  </sheetData>
  <mergeCells count="3">
    <mergeCell ref="A10:H10"/>
    <mergeCell ref="A17:H17"/>
    <mergeCell ref="A1:H1"/>
  </mergeCells>
  <printOptions horizontalCentered="1"/>
  <pageMargins left="0.25" right="0.25" top="0.5" bottom="0.5" header="0.3" footer="0.3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tabColor rgb="00E74C3C"/>
    <outlinePr summaryBelow="1" summaryRight="1"/>
    <pageSetUpPr fitToPage="1"/>
  </sheetPr>
  <dimension ref="A1:F3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9" t="inlineStr">
        <is>
          <t>배당 및 주주환원 정책</t>
        </is>
      </c>
    </row>
    <row r="3">
      <c r="A3" s="10" t="inlineStr">
        <is>
          <t>연도</t>
        </is>
      </c>
      <c r="B3" s="10" t="inlineStr">
        <is>
          <t>주당배당금(원)</t>
        </is>
      </c>
      <c r="C3" s="10" t="inlineStr">
        <is>
          <t>EPS(원)</t>
        </is>
      </c>
      <c r="D3" s="10" t="inlineStr">
        <is>
          <t>배당성향</t>
        </is>
      </c>
      <c r="E3" s="10" t="inlineStr">
        <is>
          <t>배당수익률</t>
        </is>
      </c>
      <c r="F3" s="10" t="inlineStr">
        <is>
          <t>비고</t>
        </is>
      </c>
    </row>
    <row r="4">
      <c r="A4" s="33" t="inlineStr">
        <is>
          <t>2015</t>
        </is>
      </c>
      <c r="B4" s="34" t="n">
        <v>330</v>
      </c>
      <c r="C4" s="12" t="n">
        <v>1833</v>
      </c>
      <c r="D4" s="17" t="inlineStr">
        <is>
          <t>17.9%</t>
        </is>
      </c>
      <c r="E4" s="17" t="inlineStr">
        <is>
          <t>1.17%</t>
        </is>
      </c>
      <c r="F4" s="35" t="inlineStr"/>
    </row>
    <row r="5">
      <c r="A5" s="33" t="inlineStr">
        <is>
          <t>2016</t>
        </is>
      </c>
      <c r="B5" s="14" t="inlineStr">
        <is>
          <t>-</t>
        </is>
      </c>
      <c r="C5" s="12" t="n">
        <v>-2824</v>
      </c>
      <c r="D5" s="17" t="inlineStr">
        <is>
          <t>-</t>
        </is>
      </c>
      <c r="E5" s="17" t="inlineStr">
        <is>
          <t>-</t>
        </is>
      </c>
      <c r="F5" s="35" t="inlineStr">
        <is>
          <t>적자→무배당</t>
        </is>
      </c>
    </row>
    <row r="6">
      <c r="A6" s="33" t="inlineStr">
        <is>
          <t>2017</t>
        </is>
      </c>
      <c r="B6" s="34" t="n">
        <v>260</v>
      </c>
      <c r="C6" s="12" t="n">
        <v>-100</v>
      </c>
      <c r="D6" s="17" t="inlineStr">
        <is>
          <t>-321.8%</t>
        </is>
      </c>
      <c r="E6" s="17" t="inlineStr">
        <is>
          <t>1.27%</t>
        </is>
      </c>
      <c r="F6" s="35" t="inlineStr">
        <is>
          <t>적자에도 배당</t>
        </is>
      </c>
    </row>
    <row r="7">
      <c r="A7" s="33" t="inlineStr">
        <is>
          <t>2018</t>
        </is>
      </c>
      <c r="B7" s="34" t="n">
        <v>300</v>
      </c>
      <c r="C7" s="12" t="n">
        <v>2161</v>
      </c>
      <c r="D7" s="17" t="inlineStr">
        <is>
          <t>17.1%</t>
        </is>
      </c>
      <c r="E7" s="17" t="inlineStr">
        <is>
          <t>2.40%</t>
        </is>
      </c>
      <c r="F7" s="35" t="inlineStr"/>
    </row>
    <row r="8">
      <c r="A8" s="33" t="inlineStr">
        <is>
          <t>2019</t>
        </is>
      </c>
      <c r="B8" s="34" t="n">
        <v>500</v>
      </c>
      <c r="C8" s="12" t="n">
        <v>5151</v>
      </c>
      <c r="D8" s="17" t="inlineStr">
        <is>
          <t>10.4%</t>
        </is>
      </c>
      <c r="E8" s="17" t="inlineStr">
        <is>
          <t>1.70%</t>
        </is>
      </c>
      <c r="F8" s="35" t="inlineStr">
        <is>
          <t>최대실적</t>
        </is>
      </c>
    </row>
    <row r="9">
      <c r="A9" s="33" t="inlineStr">
        <is>
          <t>2020</t>
        </is>
      </c>
      <c r="B9" s="34" t="n">
        <v>500</v>
      </c>
      <c r="C9" s="12" t="n">
        <v>2180</v>
      </c>
      <c r="D9" s="17" t="inlineStr">
        <is>
          <t>23.9%</t>
        </is>
      </c>
      <c r="E9" s="17" t="inlineStr">
        <is>
          <t>1.30%</t>
        </is>
      </c>
      <c r="F9" s="35" t="inlineStr"/>
    </row>
    <row r="10">
      <c r="A10" s="33" t="inlineStr">
        <is>
          <t>2021</t>
        </is>
      </c>
      <c r="B10" s="34" t="n">
        <v>500</v>
      </c>
      <c r="C10" s="12" t="n">
        <v>2229</v>
      </c>
      <c r="D10" s="17" t="inlineStr">
        <is>
          <t>22.6%</t>
        </is>
      </c>
      <c r="E10" s="17" t="inlineStr">
        <is>
          <t>0.90%</t>
        </is>
      </c>
      <c r="F10" s="35" t="inlineStr">
        <is>
          <t>유가증권 이전</t>
        </is>
      </c>
    </row>
    <row r="11">
      <c r="A11" s="33" t="inlineStr">
        <is>
          <t>2022</t>
        </is>
      </c>
      <c r="B11" s="34" t="n">
        <v>500</v>
      </c>
      <c r="C11" s="12" t="n">
        <v>1293</v>
      </c>
      <c r="D11" s="17" t="inlineStr">
        <is>
          <t>38.5%</t>
        </is>
      </c>
      <c r="E11" s="17" t="inlineStr">
        <is>
          <t>1.80%</t>
        </is>
      </c>
      <c r="F11" s="35" t="inlineStr">
        <is>
          <t>배당성향 확대</t>
        </is>
      </c>
    </row>
    <row r="12">
      <c r="A12" s="33" t="inlineStr">
        <is>
          <t>2023</t>
        </is>
      </c>
      <c r="B12" s="34" t="n">
        <v>600</v>
      </c>
      <c r="C12" s="12" t="n">
        <v>1585</v>
      </c>
      <c r="D12" s="17" t="inlineStr">
        <is>
          <t>37.9%</t>
        </is>
      </c>
      <c r="E12" s="17" t="inlineStr">
        <is>
          <t>2.00%</t>
        </is>
      </c>
      <c r="F12" s="35" t="inlineStr">
        <is>
          <t>배당금 인상</t>
        </is>
      </c>
    </row>
    <row r="13">
      <c r="A13" s="33" t="inlineStr">
        <is>
          <t>2024</t>
        </is>
      </c>
      <c r="B13" s="34" t="n">
        <v>800</v>
      </c>
      <c r="C13" s="12" t="n">
        <v>3661</v>
      </c>
      <c r="D13" s="17" t="inlineStr">
        <is>
          <t>21.2%</t>
        </is>
      </c>
      <c r="E13" s="17" t="inlineStr">
        <is>
          <t>4.00%</t>
        </is>
      </c>
      <c r="F13" s="35" t="inlineStr">
        <is>
          <t>대폭 인상</t>
        </is>
      </c>
    </row>
    <row r="14">
      <c r="A14" s="33" t="inlineStr">
        <is>
          <t>2025E</t>
        </is>
      </c>
      <c r="B14" s="34" t="n">
        <v>1000</v>
      </c>
      <c r="C14" s="12" t="inlineStr">
        <is>
          <t>-</t>
        </is>
      </c>
      <c r="D14" s="17" t="inlineStr">
        <is>
          <t>-</t>
        </is>
      </c>
      <c r="E14" s="17" t="inlineStr">
        <is>
          <t>3.74%</t>
        </is>
      </c>
      <c r="F14" s="35" t="inlineStr">
        <is>
          <t>결산배당 결정</t>
        </is>
      </c>
    </row>
    <row r="17">
      <c r="A17" s="15" t="inlineStr">
        <is>
          <t>최근 주주환원 이벤트</t>
        </is>
      </c>
    </row>
    <row r="18">
      <c r="A18" s="36" t="inlineStr">
        <is>
          <t>2024.07</t>
        </is>
      </c>
      <c r="B18" s="37" t="inlineStr">
        <is>
          <t>자기주식 취득 결정</t>
        </is>
      </c>
    </row>
    <row r="19">
      <c r="A19" s="36" t="inlineStr">
        <is>
          <t>2024.11</t>
        </is>
      </c>
      <c r="B19" s="37" t="inlineStr">
        <is>
          <t>자기주식 추가 취득 결정</t>
        </is>
      </c>
    </row>
    <row r="20">
      <c r="A20" s="36" t="inlineStr">
        <is>
          <t>2024.12</t>
        </is>
      </c>
      <c r="B20" s="37" t="inlineStr">
        <is>
          <t>결산배당 주당 800원 결정</t>
        </is>
      </c>
    </row>
    <row r="21">
      <c r="A21" s="36" t="inlineStr">
        <is>
          <t>2025.01</t>
        </is>
      </c>
      <c r="B21" s="37" t="inlineStr">
        <is>
          <t>자기주식 취득 결정</t>
        </is>
      </c>
    </row>
    <row r="22">
      <c r="A22" s="36" t="inlineStr">
        <is>
          <t>2025.09</t>
        </is>
      </c>
      <c r="B22" s="37" t="inlineStr">
        <is>
          <t>자기주식 취득 결정</t>
        </is>
      </c>
    </row>
    <row r="23">
      <c r="A23" s="36" t="inlineStr">
        <is>
          <t>2025.11</t>
        </is>
      </c>
      <c r="B23" s="37" t="inlineStr">
        <is>
          <t>주식 583,482주 소각 결정 (약 170억원)</t>
        </is>
      </c>
    </row>
    <row r="24">
      <c r="A24" s="36" t="inlineStr">
        <is>
          <t>2025.12</t>
        </is>
      </c>
      <c r="B24" s="37" t="inlineStr">
        <is>
          <t>결산배당 주당 1,000원 결정</t>
        </is>
      </c>
    </row>
    <row r="27">
      <c r="A27" s="15" t="inlineStr">
        <is>
          <t>주식 구조 (2024.12.31)</t>
        </is>
      </c>
    </row>
    <row r="28">
      <c r="A28" s="38" t="inlineStr">
        <is>
          <t>발행가능주식수</t>
        </is>
      </c>
      <c r="B28" s="39" t="inlineStr">
        <is>
          <t>50,000,000주</t>
        </is>
      </c>
    </row>
    <row r="29">
      <c r="A29" s="38" t="inlineStr">
        <is>
          <t>발행주식수</t>
        </is>
      </c>
      <c r="B29" s="39" t="inlineStr">
        <is>
          <t>17,977,732주</t>
        </is>
      </c>
    </row>
    <row r="30">
      <c r="A30" s="38" t="inlineStr">
        <is>
          <t>자기주식</t>
        </is>
      </c>
      <c r="B30" s="39" t="inlineStr">
        <is>
          <t>1,110,000주</t>
        </is>
      </c>
    </row>
    <row r="31">
      <c r="A31" s="38" t="inlineStr">
        <is>
          <t>유통주식수</t>
        </is>
      </c>
      <c r="B31" s="39" t="inlineStr">
        <is>
          <t>16,867,732주</t>
        </is>
      </c>
    </row>
    <row r="32">
      <c r="A32" s="38" t="inlineStr">
        <is>
          <t>최대주주(민동욱)</t>
        </is>
      </c>
      <c r="B32" s="39" t="inlineStr">
        <is>
          <t>4,661,000주 (25.93%)</t>
        </is>
      </c>
    </row>
    <row r="33">
      <c r="A33" s="38" t="inlineStr">
        <is>
          <t>특수관계인 합계</t>
        </is>
      </c>
      <c r="B33" s="39" t="inlineStr">
        <is>
          <t>5,196,495주 (28.91%)</t>
        </is>
      </c>
    </row>
    <row r="34">
      <c r="A34" s="38" t="inlineStr">
        <is>
          <t>소액주주 비율</t>
        </is>
      </c>
      <c r="B34" s="39" t="inlineStr">
        <is>
          <t>66.33% (58,267명)</t>
        </is>
      </c>
    </row>
  </sheetData>
  <mergeCells count="17">
    <mergeCell ref="B21:F21"/>
    <mergeCell ref="B30:C30"/>
    <mergeCell ref="B29:C29"/>
    <mergeCell ref="B24:F24"/>
    <mergeCell ref="B33:C33"/>
    <mergeCell ref="B20:F20"/>
    <mergeCell ref="A1:F1"/>
    <mergeCell ref="B34:C34"/>
    <mergeCell ref="B19:F19"/>
    <mergeCell ref="A27:F27"/>
    <mergeCell ref="B28:C28"/>
    <mergeCell ref="A17:F17"/>
    <mergeCell ref="B23:F23"/>
    <mergeCell ref="B22:F22"/>
    <mergeCell ref="B31:C31"/>
    <mergeCell ref="B32:C32"/>
    <mergeCell ref="B18:F18"/>
  </mergeCells>
  <printOptions horizontalCentered="1"/>
  <pageMargins left="0.25" right="0.25" top="0.5" bottom="0.5" header="0.3" footer="0.3"/>
  <pageSetup orientation="landscape" paperSize="1" fitToHeight="0" fitToWidth="1"/>
</worksheet>
</file>

<file path=xl/worksheets/sheet6.xml><?xml version="1.0" encoding="utf-8"?>
<worksheet xmlns="http://schemas.openxmlformats.org/spreadsheetml/2006/main">
  <sheetPr>
    <tabColor rgb="008E44AD"/>
    <outlinePr summaryBelow="1" summaryRight="1"/>
    <pageSetUpPr fitToPage="1"/>
  </sheetPr>
  <dimension ref="A1:D36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14" customWidth="1" min="4" max="4"/>
  </cols>
  <sheetData>
    <row r="1">
      <c r="A1" s="9" t="inlineStr">
        <is>
          <t>연구개발 및 특허 현황</t>
        </is>
      </c>
    </row>
    <row r="3">
      <c r="A3" s="15" t="inlineStr">
        <is>
          <t>연구개발비 추이</t>
        </is>
      </c>
    </row>
    <row r="4">
      <c r="A4" s="10" t="inlineStr">
        <is>
          <t>연도</t>
        </is>
      </c>
      <c r="B4" s="10" t="inlineStr">
        <is>
          <t>R&amp;D비용(억원)</t>
        </is>
      </c>
      <c r="C4" s="10" t="inlineStr">
        <is>
          <t>매출대비</t>
        </is>
      </c>
      <c r="D4" s="10" t="inlineStr">
        <is>
          <t>비고</t>
        </is>
      </c>
    </row>
    <row r="5">
      <c r="A5" s="33" t="inlineStr">
        <is>
          <t>2022</t>
        </is>
      </c>
      <c r="B5" s="12" t="n">
        <v>397</v>
      </c>
      <c r="C5" s="17" t="inlineStr">
        <is>
          <t>3.58%</t>
        </is>
      </c>
      <c r="D5" s="35" t="inlineStr">
        <is>
          <t>자산처리 22억 포함</t>
        </is>
      </c>
    </row>
    <row r="6">
      <c r="A6" s="33" t="inlineStr">
        <is>
          <t>2023</t>
        </is>
      </c>
      <c r="B6" s="12" t="n">
        <v>356</v>
      </c>
      <c r="C6" s="17" t="inlineStr">
        <is>
          <t>3.82%</t>
        </is>
      </c>
      <c r="D6" s="35" t="inlineStr">
        <is>
          <t>자산처리 10억 포함</t>
        </is>
      </c>
    </row>
    <row r="7">
      <c r="A7" s="33" t="inlineStr">
        <is>
          <t>2024</t>
        </is>
      </c>
      <c r="B7" s="12" t="n">
        <v>327</v>
      </c>
      <c r="C7" s="17" t="inlineStr">
        <is>
          <t>3.10%</t>
        </is>
      </c>
      <c r="D7" s="35" t="inlineStr">
        <is>
          <t>자산처리 3억 포함</t>
        </is>
      </c>
    </row>
    <row r="9">
      <c r="A9" s="40" t="inlineStr">
        <is>
          <t>연구인력 284명 (전체의 57.7%) | 임원15 + 수석107 + 선임106 + 연구원56</t>
        </is>
      </c>
    </row>
    <row r="11">
      <c r="A11" s="15" t="inlineStr">
        <is>
          <t>특허 포트폴리오 (24건)</t>
        </is>
      </c>
    </row>
    <row r="12">
      <c r="A12" s="10" t="inlineStr">
        <is>
          <t>취득일</t>
        </is>
      </c>
      <c r="B12" s="10" t="inlineStr">
        <is>
          <t>특허명/내용</t>
        </is>
      </c>
      <c r="C12" s="10" t="inlineStr">
        <is>
          <t>분류</t>
        </is>
      </c>
      <c r="D12" s="10" t="inlineStr">
        <is>
          <t>활용</t>
        </is>
      </c>
    </row>
    <row r="13">
      <c r="A13" s="17" t="inlineStr">
        <is>
          <t>20120809</t>
        </is>
      </c>
      <c r="B13" s="25" t="inlineStr">
        <is>
          <t>- 본 발명은 카메라모듈내의 주요 부품인 자동초점 조절장치(Actuator)에 관한 기술임. - 액추에이터(</t>
        </is>
      </c>
      <c r="C13" s="33" t="inlineStr">
        <is>
          <t>액츄에이터</t>
        </is>
      </c>
      <c r="D13" s="35" t="inlineStr"/>
    </row>
    <row r="14">
      <c r="A14" s="17" t="inlineStr">
        <is>
          <t>20120829</t>
        </is>
      </c>
      <c r="B14" s="25" t="inlineStr">
        <is>
          <t xml:space="preserve">- 본 발명은 카메라모듈내의 주요 부품인 자동초점 조절장치(Actuator)에 관한 기술임. - 본 발명은 </t>
        </is>
      </c>
      <c r="C14" s="33" t="inlineStr">
        <is>
          <t>액츄에이터</t>
        </is>
      </c>
      <c r="D14" s="35" t="inlineStr"/>
    </row>
    <row r="15">
      <c r="A15" s="17" t="inlineStr">
        <is>
          <t>20121009</t>
        </is>
      </c>
      <c r="B15" s="25" t="inlineStr">
        <is>
          <t xml:space="preserve">본 발명은 카메라에 의해 전방 영역 이미지 촬영시, 실시간 예측되는 차량의 현재 위치 및 전방의 특정 거리 </t>
        </is>
      </c>
      <c r="C15" s="33" t="inlineStr">
        <is>
          <t>전장카메라</t>
        </is>
      </c>
      <c r="D15" s="35" t="inlineStr"/>
    </row>
    <row r="16">
      <c r="A16" s="17" t="inlineStr">
        <is>
          <t>20121126</t>
        </is>
      </c>
      <c r="B16" s="25" t="inlineStr">
        <is>
          <t>- 본 발명은 카메라모듈의 주요 부품인 자동초점 조절장치(Actuator)에 관한 기술로써 헤드, 마그네트,</t>
        </is>
      </c>
      <c r="C16" s="33" t="inlineStr">
        <is>
          <t>액츄에이터</t>
        </is>
      </c>
      <c r="D16" s="35" t="inlineStr"/>
    </row>
    <row r="17">
      <c r="A17" s="17" t="inlineStr">
        <is>
          <t>20130107</t>
        </is>
      </c>
      <c r="B17" s="25" t="inlineStr">
        <is>
          <t>- 본 발명은 카메라모듈 내의 주요 부품인 자동초점조절 장치(Actuator)에 관한 기술 임. - Actu</t>
        </is>
      </c>
      <c r="C17" s="33" t="inlineStr">
        <is>
          <t>액츄에이터</t>
        </is>
      </c>
      <c r="D17" s="35" t="inlineStr"/>
    </row>
    <row r="18">
      <c r="A18" s="17" t="inlineStr">
        <is>
          <t>20130709</t>
        </is>
      </c>
      <c r="B18" s="25" t="inlineStr">
        <is>
          <t>- 본 발명은 차량 주차 안내 기술에 관한 발명으로, 차량 주차시 주차 영역간 구획선 일측에만 주차 안내바를</t>
        </is>
      </c>
      <c r="C18" s="33" t="inlineStr">
        <is>
          <t>전장카메라</t>
        </is>
      </c>
      <c r="D18" s="35" t="inlineStr"/>
    </row>
    <row r="19">
      <c r="A19" s="17" t="inlineStr">
        <is>
          <t>20131024</t>
        </is>
      </c>
      <c r="B19" s="25" t="inlineStr">
        <is>
          <t>- 본 발명은 카메라모듈 제조 시 적용되는 기술로써, 카메라모듈을 소프트웨어적인 방식으로 광축 정렬하는 기술</t>
        </is>
      </c>
      <c r="C19" s="33" t="inlineStr">
        <is>
          <t>광학/제조</t>
        </is>
      </c>
      <c r="D19" s="35" t="inlineStr"/>
    </row>
    <row r="20">
      <c r="A20" s="17" t="inlineStr">
        <is>
          <t>20140108</t>
        </is>
      </c>
      <c r="B20" s="25" t="inlineStr">
        <is>
          <t xml:space="preserve">- 본 발명은 차량 주차 안내 기술에 관한 발명으로 차량을 경사진 주차영역에서 주차시 경사도를 고려한 주차 </t>
        </is>
      </c>
      <c r="C20" s="33" t="inlineStr">
        <is>
          <t>전장카메라</t>
        </is>
      </c>
      <c r="D20" s="35" t="inlineStr"/>
    </row>
    <row r="21">
      <c r="A21" s="17" t="inlineStr">
        <is>
          <t>20140515</t>
        </is>
      </c>
      <c r="B21" s="25" t="inlineStr">
        <is>
          <t>- 본 발명은 터치 패널의 포인팅 인식장치에 관한 것으로 광의 전반사와 이미지 센서를 이용하여 접촉위치를 검</t>
        </is>
      </c>
      <c r="C21" s="33" t="inlineStr">
        <is>
          <t>보안/인식</t>
        </is>
      </c>
      <c r="D21" s="35" t="inlineStr"/>
    </row>
    <row r="22">
      <c r="A22" s="17" t="inlineStr">
        <is>
          <t>20140521</t>
        </is>
      </c>
      <c r="B22" s="25" t="inlineStr">
        <is>
          <t>- 본 발명은 Actuator에 관한 기술로 카메라모듈 조립시 Actuator와 렌즈부를 일체형으로 고안하여</t>
        </is>
      </c>
      <c r="C22" s="33" t="inlineStr">
        <is>
          <t>액츄에이터</t>
        </is>
      </c>
      <c r="D22" s="35" t="inlineStr"/>
    </row>
    <row r="23">
      <c r="A23" s="17" t="inlineStr">
        <is>
          <t>20141008</t>
        </is>
      </c>
      <c r="B23" s="25" t="inlineStr">
        <is>
          <t>- 본 발명들(2건)은 차량 주차 안내 기술에 관한 발명으로, 표시 되는 영상 내에 차량이 목표로 하는 주차</t>
        </is>
      </c>
      <c r="C23" s="33" t="inlineStr">
        <is>
          <t>전장카메라</t>
        </is>
      </c>
      <c r="D23" s="35" t="inlineStr"/>
    </row>
    <row r="24">
      <c r="A24" s="17" t="inlineStr">
        <is>
          <t>20141211</t>
        </is>
      </c>
      <c r="B24" s="25" t="inlineStr">
        <is>
          <t>- 본 발명은 스마트 보안장치에 관한 발명으로, 음장 변화를 통해 악의적 사용자의 침입 발생 여부를 감지하여</t>
        </is>
      </c>
      <c r="C24" s="33" t="inlineStr">
        <is>
          <t>보안/인식</t>
        </is>
      </c>
      <c r="D24" s="35" t="inlineStr"/>
    </row>
    <row r="25">
      <c r="A25" s="17" t="inlineStr">
        <is>
          <t>20150319</t>
        </is>
      </c>
      <c r="B25" s="25" t="inlineStr">
        <is>
          <t xml:space="preserve">- 본 발명은 카메라 모듈의 광축 정렬 기술과 이에 대한 응용 기술에 관한 발명으로, 광축 정렬 및 조정시 </t>
        </is>
      </c>
      <c r="C25" s="33" t="inlineStr">
        <is>
          <t>광학/제조</t>
        </is>
      </c>
      <c r="D25" s="35" t="inlineStr"/>
    </row>
    <row r="26">
      <c r="A26" s="17" t="inlineStr">
        <is>
          <t>20150601</t>
        </is>
      </c>
      <c r="B26" s="25" t="inlineStr">
        <is>
          <t>- 본 발명은 와이어 홀더를 이용한 전선의 방수구조에 관한 발명 임. - 외부에 장착된 차량용 카메라를 통해</t>
        </is>
      </c>
      <c r="C26" s="33" t="inlineStr">
        <is>
          <t>전장카메라</t>
        </is>
      </c>
      <c r="D26" s="35" t="inlineStr"/>
    </row>
    <row r="27">
      <c r="A27" s="17" t="inlineStr">
        <is>
          <t>20150820</t>
        </is>
      </c>
      <c r="B27" s="25" t="inlineStr">
        <is>
          <t>- 본 발명은 카메라에 관한 발명으로 물체의 촬영시 변위와 속도 계산 등과 같은 복잡한 연산 과정이 필요 없</t>
        </is>
      </c>
      <c r="C27" s="33" t="inlineStr">
        <is>
          <t>기타</t>
        </is>
      </c>
      <c r="D27" s="35" t="inlineStr"/>
    </row>
    <row r="28">
      <c r="A28" s="17" t="inlineStr">
        <is>
          <t>20160502</t>
        </is>
      </c>
      <c r="B28" s="25" t="inlineStr">
        <is>
          <t>- 본 발명은 카메라 모듈 제조 시 인쇄회로기판과 이미지 센서를 이용한 제조 방법으로 광학식, 전자식 손떨림</t>
        </is>
      </c>
      <c r="C28" s="33" t="inlineStr">
        <is>
          <t>기타</t>
        </is>
      </c>
      <c r="D28" s="35" t="inlineStr"/>
    </row>
    <row r="29">
      <c r="A29" s="17" t="inlineStr">
        <is>
          <t>20180130</t>
        </is>
      </c>
      <c r="B29" s="25" t="inlineStr">
        <is>
          <t>- 본발명은 다수의 카메라 영상 합성시 발생하는 영상간 경계라인에 위화감(조화되지 않음)이 드는 현상을 개선</t>
        </is>
      </c>
      <c r="C29" s="33" t="inlineStr">
        <is>
          <t>전장카메라</t>
        </is>
      </c>
      <c r="D29" s="35" t="inlineStr"/>
    </row>
    <row r="30">
      <c r="A30" s="17" t="inlineStr">
        <is>
          <t>20181002</t>
        </is>
      </c>
      <c r="B30" s="25" t="inlineStr">
        <is>
          <t xml:space="preserve">- 본 발명은 이동통신 단말 장치에서의 사용자 인증을 위해 홍채 기술을 적용하되, 서비스 종류에 따라 홍채 </t>
        </is>
      </c>
      <c r="C30" s="33" t="inlineStr">
        <is>
          <t>보안/인식</t>
        </is>
      </c>
      <c r="D30" s="35" t="inlineStr"/>
    </row>
    <row r="31">
      <c r="A31" s="17" t="inlineStr">
        <is>
          <t>20181126</t>
        </is>
      </c>
      <c r="B31" s="25" t="inlineStr">
        <is>
          <t>- 본 발명은 타이어 압력모니터링 정보(TPMS)를 이용하여 차량용 AVM 카메라의 위치정보를 실시간으로 보</t>
        </is>
      </c>
      <c r="C31" s="33" t="inlineStr">
        <is>
          <t>전장카메라</t>
        </is>
      </c>
      <c r="D31" s="35" t="inlineStr"/>
    </row>
    <row r="32">
      <c r="A32" s="17" t="inlineStr">
        <is>
          <t>20190419</t>
        </is>
      </c>
      <c r="B32" s="25" t="inlineStr">
        <is>
          <t>- 본 발명은 카메라모듈 조립시 렌즈배럴 정렬부와 커버부재 정렬부가 상호 작용하여 고체렌즈와 액체렌즈를 정밀</t>
        </is>
      </c>
      <c r="C32" s="33" t="inlineStr">
        <is>
          <t>액츄에이터</t>
        </is>
      </c>
      <c r="D32" s="35" t="inlineStr"/>
    </row>
    <row r="33">
      <c r="A33" s="17" t="inlineStr">
        <is>
          <t>20191107</t>
        </is>
      </c>
      <c r="B33" s="25" t="inlineStr">
        <is>
          <t>본 발명은 멀티 카메라 모듈에 관련한 것으로, 멀티 카메라 모듈의 PCB를 하나로 구현하지 않고 다수의 PC</t>
        </is>
      </c>
      <c r="C33" s="33" t="inlineStr">
        <is>
          <t>기타</t>
        </is>
      </c>
      <c r="D33" s="35" t="inlineStr"/>
    </row>
    <row r="34">
      <c r="A34" s="17" t="inlineStr">
        <is>
          <t>20201016</t>
        </is>
      </c>
      <c r="B34" s="25" t="inlineStr">
        <is>
          <t>본 발명은 흔들림 보정시 영상 왜곡을 방지할 수 있는 카메라에 관한 것입니다. 카메라 피사체의 이미지를 획득</t>
        </is>
      </c>
      <c r="C34" s="33" t="inlineStr">
        <is>
          <t>기타</t>
        </is>
      </c>
      <c r="D34" s="35" t="inlineStr"/>
    </row>
    <row r="35">
      <c r="A35" s="17" t="inlineStr">
        <is>
          <t>20201016</t>
        </is>
      </c>
      <c r="B35" s="25" t="inlineStr">
        <is>
          <t>본 발명은 반도체 봉지재에 간편하게 부착하여 반도체 봉지재 제조수율을 높잎 수 있는 전사필름 반제품 및 반도</t>
        </is>
      </c>
      <c r="C35" s="33" t="inlineStr">
        <is>
          <t>기타</t>
        </is>
      </c>
      <c r="D35" s="35" t="inlineStr"/>
    </row>
    <row r="36">
      <c r="A36" s="17" t="inlineStr">
        <is>
          <t>20220511</t>
        </is>
      </c>
      <c r="B36" s="25" t="inlineStr">
        <is>
          <t>프리즘 방식 카메라 장치 및 그 광축 정렬 방법</t>
        </is>
      </c>
      <c r="C36" s="33" t="inlineStr">
        <is>
          <t>광학/제조</t>
        </is>
      </c>
      <c r="D36" s="35" t="inlineStr">
        <is>
          <t xml:space="preserve">프리즘을 적용하여 높이를 낮추고 초점거리 확보를 통한 </t>
        </is>
      </c>
    </row>
  </sheetData>
  <mergeCells count="4">
    <mergeCell ref="A1:D1"/>
    <mergeCell ref="A9:D9"/>
    <mergeCell ref="A3:D3"/>
    <mergeCell ref="A11:D11"/>
  </mergeCells>
  <printOptions horizontalCentered="1"/>
  <pageMargins left="0.25" right="0.25" top="0.5" bottom="0.5" header="0.3" footer="0.3"/>
  <pageSetup orientation="landscape" paperSize="1" fitToHeight="0" fitToWidth="1"/>
</worksheet>
</file>

<file path=xl/worksheets/sheet7.xml><?xml version="1.0" encoding="utf-8"?>
<worksheet xmlns="http://schemas.openxmlformats.org/spreadsheetml/2006/main">
  <sheetPr>
    <tabColor rgb="00E67E22"/>
    <outlinePr summaryBelow="1" summaryRight="1"/>
    <pageSetUpPr fitToPage="1"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40" customWidth="1" min="3" max="3"/>
  </cols>
  <sheetData>
    <row r="1">
      <c r="A1" s="9" t="inlineStr">
        <is>
          <t>핵심 투자지표 (2024 기준, 주가 20,000원 가정)</t>
        </is>
      </c>
    </row>
    <row r="3">
      <c r="A3" s="10" t="inlineStr">
        <is>
          <t>지표</t>
        </is>
      </c>
      <c r="B3" s="10" t="inlineStr">
        <is>
          <t>값</t>
        </is>
      </c>
      <c r="C3" s="10" t="inlineStr">
        <is>
          <t>해석</t>
        </is>
      </c>
    </row>
    <row r="4">
      <c r="A4" s="41" t="inlineStr">
        <is>
          <t>PER</t>
        </is>
      </c>
      <c r="B4" s="42" t="inlineStr">
        <is>
          <t>5.5배</t>
        </is>
      </c>
      <c r="C4" s="25" t="inlineStr">
        <is>
          <t>EPS 3,661원 기준. 동종업 평균 10~15배 대비 크게 저평가</t>
        </is>
      </c>
    </row>
    <row r="5">
      <c r="A5" s="41" t="inlineStr">
        <is>
          <t>PBR</t>
        </is>
      </c>
      <c r="B5" s="42" t="inlineStr">
        <is>
          <t>0.91배</t>
        </is>
      </c>
      <c r="C5" s="25" t="inlineStr">
        <is>
          <t>시총 약 3,400억 / 자본 3,722억. 장부가 이하</t>
        </is>
      </c>
    </row>
    <row r="6">
      <c r="A6" s="41" t="inlineStr">
        <is>
          <t>ROE</t>
        </is>
      </c>
      <c r="B6" s="42" t="inlineStr">
        <is>
          <t>18.3%</t>
        </is>
      </c>
      <c r="C6" s="25" t="inlineStr">
        <is>
          <t>순이익 636억 / 평균자본 3,479억. 높은 수준</t>
        </is>
      </c>
    </row>
    <row r="7">
      <c r="A7" s="41" t="inlineStr">
        <is>
          <t>영업이익률</t>
        </is>
      </c>
      <c r="B7" s="42" t="inlineStr">
        <is>
          <t>4.2%</t>
        </is>
      </c>
      <c r="C7" s="25" t="inlineStr">
        <is>
          <t>조립업 특성상 구조적 저마진이나 2024년 양호</t>
        </is>
      </c>
    </row>
    <row r="8">
      <c r="A8" s="41" t="inlineStr">
        <is>
          <t>부채비율</t>
        </is>
      </c>
      <c r="B8" s="42" t="inlineStr">
        <is>
          <t>54.2%</t>
        </is>
      </c>
      <c r="C8" s="25" t="inlineStr">
        <is>
          <t>2016년 363%에서 극적 개선. 재무 건전</t>
        </is>
      </c>
    </row>
    <row r="9">
      <c r="A9" s="41" t="inlineStr">
        <is>
          <t>순차입금비율</t>
        </is>
      </c>
      <c r="B9" s="42" t="inlineStr">
        <is>
          <t>2.7%</t>
        </is>
      </c>
      <c r="C9" s="25" t="inlineStr">
        <is>
          <t>사실상 무차입 경영에 근접</t>
        </is>
      </c>
    </row>
    <row r="10">
      <c r="A10" s="41" t="inlineStr">
        <is>
          <t>배당수익률</t>
        </is>
      </c>
      <c r="B10" s="42" t="inlineStr">
        <is>
          <t>4.0%</t>
        </is>
      </c>
      <c r="C10" s="25" t="inlineStr">
        <is>
          <t>주당 800원 (2024). 2025년 1,000원으로 인상</t>
        </is>
      </c>
    </row>
    <row r="11">
      <c r="A11" s="41" t="inlineStr">
        <is>
          <t>시가총액</t>
        </is>
      </c>
      <c r="B11" s="42" t="inlineStr">
        <is>
          <t>약 3,400억원</t>
        </is>
      </c>
      <c r="C11" s="25" t="inlineStr">
        <is>
          <t>유통시총 약 3,000억원 (자기주식 제외)</t>
        </is>
      </c>
    </row>
    <row r="14">
      <c r="A14" s="15" t="inlineStr">
        <is>
          <t>저평가 요인 분석</t>
        </is>
      </c>
    </row>
    <row r="15">
      <c r="A15" s="43" t="inlineStr">
        <is>
          <t>삼성전자 1사 의존</t>
        </is>
      </c>
      <c r="B15" s="37" t="inlineStr">
        <is>
          <t>매출의 70%+ 삼성전자 의존 → 고객 편중 디스카운트</t>
        </is>
      </c>
    </row>
    <row r="16">
      <c r="A16" s="43" t="inlineStr">
        <is>
          <t>조립 사업 저마진</t>
        </is>
      </c>
      <c r="B16" s="37" t="inlineStr">
        <is>
          <t>원재료(센서/렌즈)가 원가의 70%+ → 구조적 마진 한계</t>
        </is>
      </c>
    </row>
    <row r="17">
      <c r="A17" s="43" t="inlineStr">
        <is>
          <t>스마트폰 성숙기</t>
        </is>
      </c>
      <c r="B17" s="37" t="inlineStr">
        <is>
          <t>글로벌 스마트폰 물량 성장 제한적 → 성장 프리미엄 부재</t>
        </is>
      </c>
    </row>
    <row r="18">
      <c r="A18" s="43" t="inlineStr">
        <is>
          <t>중소형주 디스카운트</t>
        </is>
      </c>
      <c r="B18" s="37" t="inlineStr">
        <is>
          <t>기관/외국인 관심 제한적, 유동성 프리미엄 부재</t>
        </is>
      </c>
    </row>
  </sheetData>
  <mergeCells count="6">
    <mergeCell ref="B16:C16"/>
    <mergeCell ref="B15:C15"/>
    <mergeCell ref="A1:C1"/>
    <mergeCell ref="A14:C14"/>
    <mergeCell ref="B17:C17"/>
    <mergeCell ref="B18:C18"/>
  </mergeCells>
  <printOptions horizontalCentered="1"/>
  <pageMargins left="0.25" right="0.25" top="0.5" bottom="0.5" header="0.3" footer="0.3"/>
  <pageSetup orientation="landscape" paperSize="1" fitToHeight="0" fitToWidth="1"/>
</worksheet>
</file>

<file path=xl/worksheets/sheet8.xml><?xml version="1.0" encoding="utf-8"?>
<worksheet xmlns="http://schemas.openxmlformats.org/spreadsheetml/2006/main">
  <sheetPr>
    <tabColor rgb="002ECC71"/>
    <outlinePr summaryBelow="1" summaryRight="1"/>
    <pageSetUpPr fitToPage="1"/>
  </sheetPr>
  <dimension ref="A1:E2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9" t="inlineStr">
        <is>
          <t>향후 시나리오 분석</t>
        </is>
      </c>
    </row>
    <row r="3">
      <c r="A3" s="10" t="inlineStr">
        <is>
          <t>항목</t>
        </is>
      </c>
      <c r="B3" s="10" t="inlineStr">
        <is>
          <t>강세 (Bull)</t>
        </is>
      </c>
      <c r="C3" s="10" t="inlineStr">
        <is>
          <t>기본 (Base)</t>
        </is>
      </c>
      <c r="D3" s="10" t="inlineStr">
        <is>
          <t>약세 (Bear)</t>
        </is>
      </c>
    </row>
    <row r="4">
      <c r="A4" s="41" t="inlineStr">
        <is>
          <t>전제조건</t>
        </is>
      </c>
      <c r="B4" s="44" t="inlineStr">
        <is>
          <t>갤럭시 업그레이드+전장35%</t>
        </is>
      </c>
      <c r="C4" s="45" t="inlineStr">
        <is>
          <t>모바일유지+전장10%성장</t>
        </is>
      </c>
      <c r="D4" s="46" t="inlineStr">
        <is>
          <t>삼성부진+전장정체</t>
        </is>
      </c>
    </row>
    <row r="5">
      <c r="A5" s="41" t="inlineStr">
        <is>
          <t>매출 전망</t>
        </is>
      </c>
      <c r="B5" s="44" t="inlineStr">
        <is>
          <t>1.35조원</t>
        </is>
      </c>
      <c r="C5" s="45" t="inlineStr">
        <is>
          <t>1.3조원</t>
        </is>
      </c>
      <c r="D5" s="46" t="inlineStr">
        <is>
          <t>1.1조원</t>
        </is>
      </c>
    </row>
    <row r="6">
      <c r="A6" s="41" t="inlineStr">
        <is>
          <t>영업이익률</t>
        </is>
      </c>
      <c r="B6" s="44" t="inlineStr">
        <is>
          <t>5.0%+</t>
        </is>
      </c>
      <c r="C6" s="45" t="inlineStr">
        <is>
          <t>4.0%</t>
        </is>
      </c>
      <c r="D6" s="46" t="inlineStr">
        <is>
          <t>2.0%</t>
        </is>
      </c>
    </row>
    <row r="7">
      <c r="A7" s="41" t="inlineStr">
        <is>
          <t>순이익 전망</t>
        </is>
      </c>
      <c r="B7" s="44" t="inlineStr">
        <is>
          <t>700억+</t>
        </is>
      </c>
      <c r="C7" s="45" t="inlineStr">
        <is>
          <t>500억</t>
        </is>
      </c>
      <c r="D7" s="46" t="inlineStr">
        <is>
          <t>250억</t>
        </is>
      </c>
    </row>
    <row r="8">
      <c r="A8" s="41" t="inlineStr">
        <is>
          <t>EPS 전망</t>
        </is>
      </c>
      <c r="B8" s="44" t="inlineStr">
        <is>
          <t>4,000원</t>
        </is>
      </c>
      <c r="C8" s="45" t="inlineStr">
        <is>
          <t>2,800원</t>
        </is>
      </c>
      <c r="D8" s="46" t="inlineStr">
        <is>
          <t>1,400원</t>
        </is>
      </c>
    </row>
    <row r="9">
      <c r="A9" s="41" t="inlineStr">
        <is>
          <t>적용 PER</t>
        </is>
      </c>
      <c r="B9" s="44" t="inlineStr">
        <is>
          <t>10배</t>
        </is>
      </c>
      <c r="C9" s="45" t="inlineStr">
        <is>
          <t>8배</t>
        </is>
      </c>
      <c r="D9" s="46" t="inlineStr">
        <is>
          <t>7배</t>
        </is>
      </c>
    </row>
    <row r="10">
      <c r="A10" s="41" t="inlineStr">
        <is>
          <t>목표주가</t>
        </is>
      </c>
      <c r="B10" s="44" t="inlineStr">
        <is>
          <t>40,000원</t>
        </is>
      </c>
      <c r="C10" s="45" t="inlineStr">
        <is>
          <t>22,400원</t>
        </is>
      </c>
      <c r="D10" s="46" t="inlineStr">
        <is>
          <t>9,800원</t>
        </is>
      </c>
    </row>
    <row r="11">
      <c r="A11" s="41" t="inlineStr">
        <is>
          <t>현주가 대비</t>
        </is>
      </c>
      <c r="B11" s="44" t="inlineStr">
        <is>
          <t>상승 ~100%</t>
        </is>
      </c>
      <c r="C11" s="45" t="inlineStr">
        <is>
          <t>상승 ~12%</t>
        </is>
      </c>
      <c r="D11" s="46" t="inlineStr">
        <is>
          <t>하락 ~50%</t>
        </is>
      </c>
    </row>
    <row r="14">
      <c r="A14" s="15" t="inlineStr">
        <is>
          <t>SWOT 분석</t>
        </is>
      </c>
    </row>
    <row r="15">
      <c r="A15" s="47" t="inlineStr">
        <is>
          <t>강점 (Strengths)</t>
        </is>
      </c>
      <c r="C15" s="48" t="inlineStr">
        <is>
          <t>약점 (Weaknesses)</t>
        </is>
      </c>
    </row>
    <row r="16">
      <c r="A16" s="49" t="inlineStr">
        <is>
          <t>• 삼성전자/현대차 핵심 공급사 지위</t>
        </is>
      </c>
      <c r="C16" s="50" t="inlineStr">
        <is>
          <t>• 삼성전자 매출 편중 70%+</t>
        </is>
      </c>
    </row>
    <row r="17">
      <c r="A17" s="49" t="inlineStr">
        <is>
          <t>• 베트남 3개 공장 원가경쟁력</t>
        </is>
      </c>
      <c r="C17" s="50" t="inlineStr">
        <is>
          <t>• 조립 중심 구조적 저마진 3~5%</t>
        </is>
      </c>
    </row>
    <row r="18">
      <c r="A18" s="49" t="inlineStr">
        <is>
          <t>• 연구인력 57.7%, 특허 24건</t>
        </is>
      </c>
      <c r="C18" s="50" t="inlineStr">
        <is>
          <t>• 자체 브랜드/최종제품 부재</t>
        </is>
      </c>
    </row>
    <row r="19">
      <c r="A19" s="49" t="inlineStr">
        <is>
          <t>• 부채비율 54% 재무건전</t>
        </is>
      </c>
      <c r="C19" s="50" t="inlineStr">
        <is>
          <t>• 원재료 가격 통제력 없음</t>
        </is>
      </c>
    </row>
    <row r="20">
      <c r="A20" s="49" t="inlineStr">
        <is>
          <t>• 액츄에이터 내재화 수익력</t>
        </is>
      </c>
      <c r="C20" s="50" t="inlineStr">
        <is>
          <t>• 스마트폰 시장 성숙기</t>
        </is>
      </c>
    </row>
    <row r="22">
      <c r="A22" s="51" t="inlineStr">
        <is>
          <t>기회 (Opportunities)</t>
        </is>
      </c>
      <c r="C22" s="52" t="inlineStr">
        <is>
          <t>위협 (Threats)</t>
        </is>
      </c>
    </row>
    <row r="23">
      <c r="A23" s="53" t="inlineStr">
        <is>
          <t>• ADAS 의무화 → 차량당 카메라 증가</t>
        </is>
      </c>
      <c r="C23" s="54" t="inlineStr">
        <is>
          <t>• 중국 카메라모듈 업체 추격</t>
        </is>
      </c>
    </row>
    <row r="24">
      <c r="A24" s="53" t="inlineStr">
        <is>
          <t>• 자율주행 L3/L4 본격화</t>
        </is>
      </c>
      <c r="C24" s="54" t="inlineStr">
        <is>
          <t>• 삼성 자체 모듈 내재화 가능성</t>
        </is>
      </c>
    </row>
    <row r="25">
      <c r="A25" s="53" t="inlineStr">
        <is>
          <t>• 프리즘줌 등 고부가 모듈 확대</t>
        </is>
      </c>
      <c r="C25" s="54" t="inlineStr">
        <is>
          <t>• 환율/베트남 인건비 상승</t>
        </is>
      </c>
    </row>
    <row r="26">
      <c r="A26" s="53" t="inlineStr">
        <is>
          <t>• 삼성 XR기기 등 신규 카테고리</t>
        </is>
      </c>
      <c r="C26" s="54" t="inlineStr">
        <is>
          <t>• 글로벌 경기침체 시 수요 감소</t>
        </is>
      </c>
    </row>
  </sheetData>
  <mergeCells count="24">
    <mergeCell ref="A24:B24"/>
    <mergeCell ref="A15:B15"/>
    <mergeCell ref="C24:D24"/>
    <mergeCell ref="C15:D15"/>
    <mergeCell ref="A1:E1"/>
    <mergeCell ref="C26:D26"/>
    <mergeCell ref="C20:D20"/>
    <mergeCell ref="A16:B16"/>
    <mergeCell ref="C16:D16"/>
    <mergeCell ref="A25:B25"/>
    <mergeCell ref="C25:D25"/>
    <mergeCell ref="C22:D22"/>
    <mergeCell ref="A18:B18"/>
    <mergeCell ref="A26:B26"/>
    <mergeCell ref="A23:B23"/>
    <mergeCell ref="A17:B17"/>
    <mergeCell ref="A14:E14"/>
    <mergeCell ref="C23:D23"/>
    <mergeCell ref="C17:D17"/>
    <mergeCell ref="A22:B22"/>
    <mergeCell ref="A20:B20"/>
    <mergeCell ref="A19:B19"/>
    <mergeCell ref="C19:D19"/>
    <mergeCell ref="C18:D18"/>
  </mergeCells>
  <printOptions horizontalCentered="1"/>
  <pageMargins left="0.25" right="0.25" top="0.5" bottom="0.5" header="0.3" footer="0.3"/>
  <pageSetup orientation="landscape" paperSize="1" fitToHeight="0" fitToWidth="1"/>
</worksheet>
</file>

<file path=xl/worksheets/sheet9.xml><?xml version="1.0" encoding="utf-8"?>
<worksheet xmlns="http://schemas.openxmlformats.org/spreadsheetml/2006/main">
  <sheetPr>
    <tabColor rgb="001ABC9C"/>
    <outlinePr summaryBelow="1" summaryRight="1"/>
    <pageSetUpPr fitToPage="1"/>
  </sheetPr>
  <dimension ref="A1:D45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40" customWidth="1" min="3" max="3"/>
    <col width="20" customWidth="1" min="4" max="4"/>
  </cols>
  <sheetData>
    <row r="1">
      <c r="A1" s="9" t="inlineStr">
        <is>
          <t>향후 이익 판단을 위한 핵심 모니터링 지표</t>
        </is>
      </c>
    </row>
    <row r="3">
      <c r="A3" s="10" t="inlineStr">
        <is>
          <t>순위</t>
        </is>
      </c>
      <c r="B3" s="10" t="inlineStr">
        <is>
          <t>모니터링 항목</t>
        </is>
      </c>
      <c r="C3" s="10" t="inlineStr">
        <is>
          <t>세부 내용</t>
        </is>
      </c>
      <c r="D3" s="10" t="inlineStr">
        <is>
          <t>확인 시기</t>
        </is>
      </c>
    </row>
    <row r="4" ht="45" customHeight="1">
      <c r="A4" s="55" t="inlineStr">
        <is>
          <t>1</t>
        </is>
      </c>
      <c r="B4" s="41" t="inlineStr">
        <is>
          <t>삼성 갤럭시 카메라 스펙/물량</t>
        </is>
      </c>
      <c r="C4" s="25" t="inlineStr">
        <is>
          <t>갤럭시 S/Z 시리즈 카메라 화소, 개수, OIS/줌 사양이 ASP와 매출을 직접 결정. IDC/Counterpoint 스마트폰 출하량도 참고.</t>
        </is>
      </c>
      <c r="D4" s="21" t="inlineStr">
        <is>
          <t>1~2월, 7~8월 (언팩)</t>
        </is>
      </c>
    </row>
    <row r="5" ht="45" customHeight="1">
      <c r="A5" s="55" t="inlineStr">
        <is>
          <t>2</t>
        </is>
      </c>
      <c r="B5" s="41" t="inlineStr">
        <is>
          <t>전장(자동차) 매출 비중</t>
        </is>
      </c>
      <c r="C5" s="25" t="inlineStr">
        <is>
          <t>전장 비중이 30~40% 넘으면 밸류에이션 리레이팅. 현대차 ADAS 채택률, 차량당 카메라수 확인.</t>
        </is>
      </c>
      <c r="D5" s="21" t="inlineStr">
        <is>
          <t>매 분기</t>
        </is>
      </c>
    </row>
    <row r="6" ht="45" customHeight="1">
      <c r="A6" s="55" t="inlineStr">
        <is>
          <t>3</t>
        </is>
      </c>
      <c r="B6" s="41" t="inlineStr">
        <is>
          <t>분기별 영업이익률</t>
        </is>
      </c>
      <c r="C6" s="25" t="inlineStr">
        <is>
          <t>2~3%=저수익 | 4~5%=양호 | 6%+=호황. 원재료(센서/렌즈) 가격, 환율, 제품믹스가 핵심 변수.</t>
        </is>
      </c>
      <c r="D6" s="21" t="inlineStr">
        <is>
          <t>2/5/8/11월 (잠정실적)</t>
        </is>
      </c>
    </row>
    <row r="7" ht="45" customHeight="1">
      <c r="A7" s="55" t="inlineStr">
        <is>
          <t>4</t>
        </is>
      </c>
      <c r="B7" s="41" t="inlineStr">
        <is>
          <t>베트남 VINA 법인 실적</t>
        </is>
      </c>
      <c r="C7" s="25" t="inlineStr">
        <is>
          <t>연결 순이익의 ~50% 창출. 가동률/수율/인건비 상승 모니터링. 수출입은행 채무보증 규모도 확인.</t>
        </is>
      </c>
      <c r="D7" s="21" t="inlineStr">
        <is>
          <t>연간 사업보고서</t>
        </is>
      </c>
    </row>
    <row r="8" ht="45" customHeight="1">
      <c r="A8" s="55" t="inlineStr">
        <is>
          <t>5</t>
        </is>
      </c>
      <c r="B8" s="41" t="inlineStr">
        <is>
          <t>자기주식/배당 정책</t>
        </is>
      </c>
      <c r="C8" s="25" t="inlineStr">
        <is>
          <t>2024~25년 적극적 주주환원(배당 증가+자사주 매입+소각). 이 기조 지속 시 주가 하방 지지력 강화.</t>
        </is>
      </c>
      <c r="D8" s="21" t="inlineStr">
        <is>
          <t>3월 주총, 수시</t>
        </is>
      </c>
    </row>
    <row r="11">
      <c r="A11" s="15" t="inlineStr">
        <is>
          <t>모니터링 캘린더</t>
        </is>
      </c>
    </row>
    <row r="12">
      <c r="A12" s="10" t="inlineStr">
        <is>
          <t>시기</t>
        </is>
      </c>
      <c r="B12" s="10" t="inlineStr">
        <is>
          <t>이벤트</t>
        </is>
      </c>
      <c r="C12" s="10" t="inlineStr">
        <is>
          <t>중요도</t>
        </is>
      </c>
    </row>
    <row r="13">
      <c r="A13" s="36" t="inlineStr">
        <is>
          <t>1~2월</t>
        </is>
      </c>
      <c r="B13" s="25" t="inlineStr">
        <is>
          <t>삼성 갤럭시 S시리즈 언팩 (카메라 사양 확인)</t>
        </is>
      </c>
      <c r="C13" s="18" t="inlineStr">
        <is>
          <t>★★★</t>
        </is>
      </c>
    </row>
    <row r="14">
      <c r="A14" s="36" t="inlineStr">
        <is>
          <t>2월</t>
        </is>
      </c>
      <c r="B14" s="25" t="inlineStr">
        <is>
          <t>전년도 잠정실적 공시 (4Q + 연간)</t>
        </is>
      </c>
      <c r="C14" s="18" t="inlineStr">
        <is>
          <t>★★★</t>
        </is>
      </c>
    </row>
    <row r="15">
      <c r="A15" s="36" t="inlineStr">
        <is>
          <t>3월</t>
        </is>
      </c>
      <c r="B15" s="25" t="inlineStr">
        <is>
          <t>사업보고서 제출 / 정기주총 / 배당·자사주 정책</t>
        </is>
      </c>
      <c r="C15" s="18" t="inlineStr">
        <is>
          <t>★★★</t>
        </is>
      </c>
    </row>
    <row r="16">
      <c r="A16" s="36" t="inlineStr">
        <is>
          <t>5월</t>
        </is>
      </c>
      <c r="B16" s="25" t="inlineStr">
        <is>
          <t>1분기 잠정실적 공시</t>
        </is>
      </c>
      <c r="C16" s="18" t="inlineStr">
        <is>
          <t>★★☆</t>
        </is>
      </c>
    </row>
    <row r="17">
      <c r="A17" s="36" t="inlineStr">
        <is>
          <t>7~8월</t>
        </is>
      </c>
      <c r="B17" s="25" t="inlineStr">
        <is>
          <t>삼성 갤럭시 Z/폴드 언팩 + 2분기 잠정실적</t>
        </is>
      </c>
      <c r="C17" s="18" t="inlineStr">
        <is>
          <t>★★★</t>
        </is>
      </c>
    </row>
    <row r="18">
      <c r="A18" s="36" t="inlineStr">
        <is>
          <t>11월</t>
        </is>
      </c>
      <c r="B18" s="25" t="inlineStr">
        <is>
          <t>3분기 잠정실적 공시</t>
        </is>
      </c>
      <c r="C18" s="18" t="inlineStr">
        <is>
          <t>★★☆</t>
        </is>
      </c>
    </row>
    <row r="19">
      <c r="A19" s="36" t="inlineStr">
        <is>
          <t>12월</t>
        </is>
      </c>
      <c r="B19" s="25" t="inlineStr">
        <is>
          <t>결산배당 결정 공시</t>
        </is>
      </c>
      <c r="C19" s="18" t="inlineStr">
        <is>
          <t>★★☆</t>
        </is>
      </c>
    </row>
    <row r="20">
      <c r="A20" s="36" t="inlineStr">
        <is>
          <t>수시</t>
        </is>
      </c>
      <c r="B20" s="25" t="inlineStr">
        <is>
          <t>자기주식 취득/처분/소각 공시</t>
        </is>
      </c>
      <c r="C20" s="18" t="inlineStr">
        <is>
          <t>★☆☆</t>
        </is>
      </c>
    </row>
    <row r="21">
      <c r="A21" s="36" t="inlineStr">
        <is>
          <t>수시</t>
        </is>
      </c>
      <c r="B21" s="25" t="inlineStr">
        <is>
          <t>현대차 ADAS 로드맵 (CES 등)</t>
        </is>
      </c>
      <c r="C21" s="18" t="inlineStr">
        <is>
          <t>★★☆</t>
        </is>
      </c>
    </row>
    <row r="24">
      <c r="A24" s="15" t="inlineStr">
        <is>
          <t>주요 이벤트 히스토리 (최근)</t>
        </is>
      </c>
    </row>
    <row r="25">
      <c r="A25" s="10" t="inlineStr">
        <is>
          <t>일자</t>
        </is>
      </c>
      <c r="B25" s="10" t="inlineStr">
        <is>
          <t>유형</t>
        </is>
      </c>
      <c r="C25" s="10" t="inlineStr">
        <is>
          <t>내용</t>
        </is>
      </c>
    </row>
    <row r="26">
      <c r="A26" s="17" t="inlineStr">
        <is>
          <t>20251208</t>
        </is>
      </c>
      <c r="B26" s="33" t="inlineStr">
        <is>
          <t>배당결정</t>
        </is>
      </c>
      <c r="C26" s="25" t="inlineStr">
        <is>
          <t>현금ㆍ현물배당 결정 1. 배당구분 결산배당 2. 배당종류 현금배당 - 현물자산의 상세내역 - 3. 1주당 배당금(원) 보통주식</t>
        </is>
      </c>
    </row>
    <row r="27">
      <c r="A27" s="17" t="inlineStr">
        <is>
          <t>20251120</t>
        </is>
      </c>
      <c r="B27" s="33" t="inlineStr">
        <is>
          <t>대량보유</t>
        </is>
      </c>
      <c r="C27" s="25" t="inlineStr">
        <is>
          <t xml:space="preserve">주식등의 대량보유상황보고서 (일반서식 : 자본시장과 금융투자업에 관한 법률 제147조에 의한 보고 중 '경영권에 영향을 주기 </t>
        </is>
      </c>
    </row>
    <row r="28">
      <c r="A28" s="17" t="inlineStr">
        <is>
          <t>20251110</t>
        </is>
      </c>
      <c r="B28" s="33" t="inlineStr">
        <is>
          <t>주식소각</t>
        </is>
      </c>
      <c r="C28" s="25" t="inlineStr">
        <is>
          <t xml:space="preserve">주식 소각 결정 1. 소각할 주식의 종류와 수 보통주식 (주) 583,482 종류주식 (주) - 2. 발행주식 총수 보통주식 </t>
        </is>
      </c>
    </row>
    <row r="29">
      <c r="A29" s="17" t="inlineStr">
        <is>
          <t>20250925</t>
        </is>
      </c>
      <c r="B29" s="33" t="inlineStr">
        <is>
          <t>자기주식</t>
        </is>
      </c>
      <c r="C29" s="25" t="inlineStr">
        <is>
          <t>주요사항보고서 / 거래소 신고의무 사항 금융위원회 / 한국거래소 귀중 2025 년 09 월 25 일 회 사 명 : 주식회사 엠</t>
        </is>
      </c>
    </row>
    <row r="30">
      <c r="A30" s="17" t="inlineStr">
        <is>
          <t>20250612</t>
        </is>
      </c>
      <c r="B30" s="33" t="inlineStr">
        <is>
          <t>대량보유</t>
        </is>
      </c>
      <c r="C30" s="25" t="inlineStr">
        <is>
          <t xml:space="preserve">주식등의 대량보유상황보고서 (일반서식 : 자본시장과 금융투자업에 관한 법률 제147조에 의한 보고 중 '경영권에 영향을 주기 </t>
        </is>
      </c>
    </row>
    <row r="31">
      <c r="A31" s="17" t="inlineStr">
        <is>
          <t>20250509</t>
        </is>
      </c>
      <c r="B31" s="33" t="inlineStr">
        <is>
          <t>대량보유</t>
        </is>
      </c>
      <c r="C31" s="25" t="inlineStr">
        <is>
          <t xml:space="preserve">주식등의 대량보유상황보고서 (일반서식 : 자본시장과 금융투자업에 관한 법률 제147조에 의한 보고 중 '경영권에 영향을 주기 </t>
        </is>
      </c>
    </row>
    <row r="32">
      <c r="A32" s="17" t="inlineStr">
        <is>
          <t>20250211</t>
        </is>
      </c>
      <c r="B32" s="33" t="inlineStr">
        <is>
          <t>매출변동</t>
        </is>
      </c>
      <c r="C32" s="25" t="inlineStr">
        <is>
          <t>매출액 또는 손익구조 30%(대규모법인 15%)이상 변경 ※ 동 정보는 동사가 작성한 결산자료로서, 외부감사인의 감사결과 수치</t>
        </is>
      </c>
    </row>
    <row r="33">
      <c r="A33" s="17" t="inlineStr">
        <is>
          <t>20250120</t>
        </is>
      </c>
      <c r="B33" s="33" t="inlineStr">
        <is>
          <t>자기주식</t>
        </is>
      </c>
      <c r="C33" s="25" t="inlineStr">
        <is>
          <t>주요사항보고서 / 거래소 신고의무 사항 금융위원회 / 한국거래소 귀중 2025 년 01 월 20 일 회 사 명 : 주식회사 엠</t>
        </is>
      </c>
    </row>
    <row r="34">
      <c r="A34" s="17" t="inlineStr">
        <is>
          <t>20241216</t>
        </is>
      </c>
      <c r="B34" s="33" t="inlineStr">
        <is>
          <t>배당결정</t>
        </is>
      </c>
      <c r="C34" s="25" t="inlineStr">
        <is>
          <t>현금ㆍ현물배당 결정 1. 배당구분 결산배당 2. 배당종류 현금배당 - 현물자산의 상세내역 - 3. 1주당 배당금(원) 보통주식</t>
        </is>
      </c>
    </row>
    <row r="35">
      <c r="A35" s="17" t="inlineStr">
        <is>
          <t>20241118</t>
        </is>
      </c>
      <c r="B35" s="33" t="inlineStr">
        <is>
          <t>대량보유</t>
        </is>
      </c>
      <c r="C35" s="25" t="inlineStr">
        <is>
          <t xml:space="preserve">주식등의 대량보유상황보고서 (일반서식 : 자본시장과 금융투자업에 관한 법률 제147조에 의한 보고 중 '경영권에 영향을 주기 </t>
        </is>
      </c>
    </row>
    <row r="36">
      <c r="A36" s="17" t="inlineStr">
        <is>
          <t>20241104</t>
        </is>
      </c>
      <c r="B36" s="33" t="inlineStr">
        <is>
          <t>자기주식</t>
        </is>
      </c>
      <c r="C36" s="25" t="inlineStr">
        <is>
          <t>주요사항보고서 / 거래소 신고의무 사항 금융위원회 / 한국거래소 귀중 2024 년 11 월 4 일 회 사 명 : 주식회사 엠씨</t>
        </is>
      </c>
    </row>
    <row r="37">
      <c r="A37" s="17" t="inlineStr">
        <is>
          <t>20240708</t>
        </is>
      </c>
      <c r="B37" s="33" t="inlineStr">
        <is>
          <t>자기주식</t>
        </is>
      </c>
      <c r="C37" s="25" t="inlineStr">
        <is>
          <t>주요사항보고서 / 거래소 신고의무 사항 금융위원회 / 한국거래소 귀중 2024년 7월 8일 회 사 명 : 주식회사 엠씨넥스 대</t>
        </is>
      </c>
    </row>
    <row r="38">
      <c r="A38" s="17" t="inlineStr">
        <is>
          <t>20240619</t>
        </is>
      </c>
      <c r="B38" s="33" t="inlineStr">
        <is>
          <t>대량보유</t>
        </is>
      </c>
      <c r="C38" s="25" t="inlineStr">
        <is>
          <t xml:space="preserve">주식등의 대량보유상황보고서 (일반서식 : 자본시장과 금융투자업에 관한 법률 제147조에 의한 보고 중 '경영권에 영향을 주기 </t>
        </is>
      </c>
    </row>
    <row r="39">
      <c r="A39" s="17" t="inlineStr">
        <is>
          <t>20240527</t>
        </is>
      </c>
      <c r="B39" s="33" t="inlineStr">
        <is>
          <t>대량보유</t>
        </is>
      </c>
      <c r="C39" s="25" t="inlineStr">
        <is>
          <t xml:space="preserve">주식등의 대량보유상황보고서 (일반서식 : 자본시장과 금융투자업에 관한 법률 제147조에 의한 보고 중 '경영권에 영향을 주기 </t>
        </is>
      </c>
    </row>
    <row r="40">
      <c r="A40" s="17" t="inlineStr">
        <is>
          <t>20240314</t>
        </is>
      </c>
      <c r="B40" s="33" t="inlineStr">
        <is>
          <t>자기주식</t>
        </is>
      </c>
      <c r="C40" s="25" t="inlineStr">
        <is>
          <t>주요사항보고서 / 거래소 신고의무 사항 금융위원회 / 한국거래소 귀중 2024년 03월 14일 회 사 명 : 주식회사 엠씨넥스</t>
        </is>
      </c>
    </row>
    <row r="41">
      <c r="A41" s="17" t="inlineStr">
        <is>
          <t>20240223</t>
        </is>
      </c>
      <c r="B41" s="33" t="inlineStr">
        <is>
          <t>매출변동</t>
        </is>
      </c>
      <c r="C41" s="25" t="inlineStr">
        <is>
          <t>매출액 또는 손익구조 30%(대규모법인 15%)이상 변경 ※ 동 정보는 동사가 작성한 결산자료로서, 외부감사인의 감사결과 수치</t>
        </is>
      </c>
    </row>
    <row r="42">
      <c r="A42" s="17" t="inlineStr">
        <is>
          <t>20231215</t>
        </is>
      </c>
      <c r="B42" s="33" t="inlineStr">
        <is>
          <t>배당결정</t>
        </is>
      </c>
      <c r="C42" s="25" t="inlineStr">
        <is>
          <t>현금ㆍ현물배당 결정 1. 배당구분 결산배당 2. 배당종류 현금배당 - 현물자산의 상세내역 - 3. 1주당 배당금(원) 보통주식</t>
        </is>
      </c>
    </row>
    <row r="43">
      <c r="A43" s="17" t="inlineStr">
        <is>
          <t>20231017</t>
        </is>
      </c>
      <c r="B43" s="33" t="inlineStr">
        <is>
          <t>대량보유</t>
        </is>
      </c>
      <c r="C43" s="25" t="inlineStr">
        <is>
          <t xml:space="preserve">주식등의 대량보유상황보고서 (일반서식 : 자본시장과 금융투자업에 관한 법률 제147조에 의한 보고 중 '경영권에 영향을 주기 </t>
        </is>
      </c>
    </row>
    <row r="44">
      <c r="A44" s="17" t="inlineStr">
        <is>
          <t>20230825</t>
        </is>
      </c>
      <c r="B44" s="33" t="inlineStr">
        <is>
          <t>대량보유</t>
        </is>
      </c>
      <c r="C44" s="25" t="inlineStr">
        <is>
          <t xml:space="preserve">주식등의 대량보유상황보고서 (일반서식 : 자본시장과 금융투자업에 관한 법률 제147조에 의한 보고 중 '경영권에 영향을 주기 </t>
        </is>
      </c>
    </row>
    <row r="45">
      <c r="A45" s="17" t="inlineStr">
        <is>
          <t>20230704</t>
        </is>
      </c>
      <c r="B45" s="33" t="inlineStr">
        <is>
          <t>대량보유</t>
        </is>
      </c>
      <c r="C45" s="25" t="inlineStr">
        <is>
          <t xml:space="preserve">주식등의 대량보유상황보고서 (약식서식 : 자본시장과 금융투자업에 관한 법률 제147조에 의한 보고 중 '경영권에 영향을 주기 </t>
        </is>
      </c>
    </row>
  </sheetData>
  <mergeCells count="3">
    <mergeCell ref="A1:D1"/>
    <mergeCell ref="A24:D24"/>
    <mergeCell ref="A11:D11"/>
  </mergeCells>
  <printOptions horizontalCentered="1"/>
  <pageMargins left="0.25" right="0.25" top="0.5" bottom="0.5" header="0.3" footer="0.3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2026-02-07T08:47:18Z</dcterms:created>
  <dcterms:modified xmlns:dcterms="http://purl.org/dc/terms/" xmlns:xsi="http://www.w3.org/2001/XMLSchema-instance" xsi:type="dcterms:W3CDTF">2026-02-07T08:47:18Z</dcterms:modified>
</cp:coreProperties>
</file>